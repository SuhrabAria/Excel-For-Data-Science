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uhrab Aria\Desktop\New folder (2)\"/>
    </mc:Choice>
  </mc:AlternateContent>
  <bookViews>
    <workbookView xWindow="0" yWindow="0" windowWidth="20490" windowHeight="7620"/>
  </bookViews>
  <sheets>
    <sheet name="Instruction" sheetId="3" r:id="rId1"/>
    <sheet name="Raw Data" sheetId="2" r:id="rId2"/>
    <sheet name="Cleaned Data" sheetId="1" r:id="rId3"/>
    <sheet name="Auto Sum" sheetId="5" r:id="rId4"/>
    <sheet name="Pivot Table 1" sheetId="6" r:id="rId5"/>
    <sheet name="Pivot Table 2" sheetId="7" r:id="rId6"/>
    <sheet name="Pivot Table 3" sheetId="8" r:id="rId7"/>
  </sheets>
  <definedNames>
    <definedName name="_xlnm._FilterDatabase" localSheetId="3" hidden="1">'Auto Sum'!$A$1:$C$55</definedName>
    <definedName name="_xlnm._FilterDatabase" localSheetId="2" hidden="1">'Cleaned Data'!$A$1:$C$7</definedName>
    <definedName name="Equipment_count">Table13[Equipment Count]</definedName>
    <definedName name="Montgomery_Fleet_Equipment_Inventory_FA_PART_1_START" localSheetId="1">'Raw Data'!$A$1:$D$63</definedName>
  </definedNames>
  <calcPr calcId="162913"/>
  <pivotCaches>
    <pivotCache cacheId="0" r:id="rId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1" i="5" l="1"/>
  <c r="C52" i="5" s="1"/>
  <c r="C53" i="5" l="1"/>
  <c r="C55" i="5" l="1"/>
  <c r="C54" i="5"/>
</calcChain>
</file>

<file path=xl/connections.xml><?xml version="1.0" encoding="utf-8"?>
<connections xmlns="http://schemas.openxmlformats.org/spreadsheetml/2006/main">
  <connection id="1" name="Montgomery_Fleet_Equipment_Inventory_FA_PART_1_START" type="6" refreshedVersion="6" background="1" saveData="1">
    <textPr codePage="437" sourceFile="C:\Users\Suhrab Aria\Downloads\Montgomery_Fleet_Equipment_Inventory_FA_PART_1_START.csv" comma="1">
      <textFields count="4">
        <textField/>
        <textField/>
        <textField/>
        <textField/>
      </textFields>
    </textPr>
  </connection>
</connections>
</file>

<file path=xl/sharedStrings.xml><?xml version="1.0" encoding="utf-8"?>
<sst xmlns="http://schemas.openxmlformats.org/spreadsheetml/2006/main" count="478" uniqueCount="110">
  <si>
    <t>Department</t>
  </si>
  <si>
    <t>Equipment Class</t>
  </si>
  <si>
    <t>Equipment Count</t>
  </si>
  <si>
    <t>Board of</t>
  </si>
  <si>
    <t>Elections</t>
  </si>
  <si>
    <t>Van</t>
  </si>
  <si>
    <t>Off Road VehicleEquipment</t>
  </si>
  <si>
    <t>Circuit</t>
  </si>
  <si>
    <t>Court</t>
  </si>
  <si>
    <t>SUV</t>
  </si>
  <si>
    <t>Community Engagement</t>
  </si>
  <si>
    <t>Cluster</t>
  </si>
  <si>
    <t>Pick Up  Trucks</t>
  </si>
  <si>
    <t>Community Use of Public</t>
  </si>
  <si>
    <t>Facilities</t>
  </si>
  <si>
    <t>Sedan</t>
  </si>
  <si>
    <t>Consumer</t>
  </si>
  <si>
    <t>Protection</t>
  </si>
  <si>
    <t>Correction and</t>
  </si>
  <si>
    <t>Rehabilitation</t>
  </si>
  <si>
    <t>Rehabilltation</t>
  </si>
  <si>
    <t>Public  Safety Sedan</t>
  </si>
  <si>
    <t>Public  Safety SUV</t>
  </si>
  <si>
    <t>Pick Up Trucks</t>
  </si>
  <si>
    <t>CUV</t>
  </si>
  <si>
    <t>County Executives</t>
  </si>
  <si>
    <t>Office</t>
  </si>
  <si>
    <t>Public Safety SUV</t>
  </si>
  <si>
    <t>Economic</t>
  </si>
  <si>
    <t>Development</t>
  </si>
  <si>
    <t>Enviromnental</t>
  </si>
  <si>
    <t>Medium Duty</t>
  </si>
  <si>
    <t>Finance</t>
  </si>
  <si>
    <t>Fire and</t>
  </si>
  <si>
    <t>Rescue</t>
  </si>
  <si>
    <t>Public Safety Pick Up Trucks</t>
  </si>
  <si>
    <t>Public Safety Sedan</t>
  </si>
  <si>
    <t>Public Safety Van</t>
  </si>
  <si>
    <t>Recsue</t>
  </si>
  <si>
    <t>Public Safety CUV</t>
  </si>
  <si>
    <t>Public Safety Heavy Duty</t>
  </si>
  <si>
    <t>Heavy Duty</t>
  </si>
  <si>
    <t>Transit Bus</t>
  </si>
  <si>
    <t>General</t>
  </si>
  <si>
    <t>Services</t>
  </si>
  <si>
    <t>Servcies</t>
  </si>
  <si>
    <t>Health and Human</t>
  </si>
  <si>
    <t>Off Road Vehicle Equipment</t>
  </si>
  <si>
    <t>Department3</t>
  </si>
  <si>
    <t>Board of Elections</t>
  </si>
  <si>
    <t>Circuit Court</t>
  </si>
  <si>
    <t>Community Engagement Cluster</t>
  </si>
  <si>
    <t>Community Use of Public Facilities</t>
  </si>
  <si>
    <t>Consumer Protection</t>
  </si>
  <si>
    <t>Correction and Rehabilitation</t>
  </si>
  <si>
    <t>County Executives Office</t>
  </si>
  <si>
    <t>Economic Development</t>
  </si>
  <si>
    <t>Environmental Protection</t>
  </si>
  <si>
    <t xml:space="preserve">Finance </t>
  </si>
  <si>
    <t>Fire and Rescue</t>
  </si>
  <si>
    <t>General Services</t>
  </si>
  <si>
    <t>Health and Human Services</t>
  </si>
  <si>
    <t>The following instruction should be carried out in order to clean the given data</t>
  </si>
  <si>
    <t>Column widths: Sort out the widths of all columns so that the data is clearly visible in all cells.</t>
  </si>
  <si>
    <t>Empty rows: Use the Filter feature to look for blanks and remove all empty rows from the data.</t>
  </si>
  <si>
    <t>Spelling: The original source file data has not been checked for errors in the spelling. Check for spelling mistakes in the data and fix them.</t>
  </si>
  <si>
    <t>Save the CSV file as an XLSX file</t>
  </si>
  <si>
    <t>Duplicate records: Remove all duplicate records</t>
  </si>
  <si>
    <t>Whitespace: Use the recommended methods to remove all whitespaces</t>
  </si>
  <si>
    <t>Department names: The department column has been splited over two columns. Concatenate the two columns in a single column.</t>
  </si>
  <si>
    <t>Instruction - Cleaning Data</t>
  </si>
  <si>
    <t>Instruction - Analyzing Data</t>
  </si>
  <si>
    <t>The following instruction should be carried out in order to analyz the given data</t>
  </si>
  <si>
    <t>Use AutoSum to calculate values: Use AutoSum to find the following values for column 'C' and record each of the values:</t>
  </si>
  <si>
    <t>SUM</t>
  </si>
  <si>
    <t>AVERAGE</t>
  </si>
  <si>
    <t>MIN</t>
  </si>
  <si>
    <t>MAX</t>
  </si>
  <si>
    <t>COUNT</t>
  </si>
  <si>
    <t>Create a Pivot Table: Use the PivotTable feature to create a pivot table that displays the Department field in the Rows section, and the Equipment Count in the Values section, so that the pivot table displays the sum of equipment count by department.</t>
  </si>
  <si>
    <t>Sort the pivot table data: Use the Sort By Value setting on the pivot table to sort it in descending order by the sum of equipment count.</t>
  </si>
  <si>
    <t>Make two more pivot tables exactly the same as task 3: Follow the same steps you performed in Tasks 3 and 4 to create two more identical pivot tables so that you end up with 3 worksheets that contain identical pivot tables.</t>
  </si>
  <si>
    <t>Analyze data in the pivot table: Use the PivotTable Fields pane to manipulate and analyze data in the two copied pivot table as follows:</t>
  </si>
  <si>
    <t>In pivot table 2 add the Equipment Class field below the Department field so that the different vehicle types appear under each department with their respective counts.</t>
  </si>
  <si>
    <t>Collapse all fields except the top one - Transportation</t>
  </si>
  <si>
    <t>In pivot table 3 add the Equipment Class field above the Department field so that the different vehicle types appear first, with the different departments listed underneath each vehicle type with their respective counts.</t>
  </si>
  <si>
    <t>Collapse all fields except the top one - CUV</t>
  </si>
  <si>
    <t>Format the data as a table</t>
  </si>
  <si>
    <t>IBM - Excel Basics for Data Analysis Final Assignment - Cleaning and Analyzing Data</t>
  </si>
  <si>
    <t>Count</t>
  </si>
  <si>
    <t>Min</t>
  </si>
  <si>
    <t>Max</t>
  </si>
  <si>
    <t>Average</t>
  </si>
  <si>
    <t>Sum</t>
  </si>
  <si>
    <t>Transportation</t>
  </si>
  <si>
    <t>Technology Services</t>
  </si>
  <si>
    <t>State Attorneys Office</t>
  </si>
  <si>
    <t>Sheriffs Office</t>
  </si>
  <si>
    <t>Recreation</t>
  </si>
  <si>
    <t>Public Information Office</t>
  </si>
  <si>
    <t>Permitting Services</t>
  </si>
  <si>
    <t>Office Of Homeland Security</t>
  </si>
  <si>
    <t>Liquor Control</t>
  </si>
  <si>
    <t>Libraries</t>
  </si>
  <si>
    <t>Human Rights</t>
  </si>
  <si>
    <t>Housing and Community Affairs</t>
  </si>
  <si>
    <t>Grand Total</t>
  </si>
  <si>
    <t>Sum of Equipment Count</t>
  </si>
  <si>
    <t>Row Labels</t>
  </si>
  <si>
    <t xml:space="preserve">Montgomery Fleet Equipment Inventory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</si>
</sst>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20"/>
      <color theme="1"/>
      <name val="Calibri"/>
      <family val="2"/>
      <scheme val="minor"/>
    </font>
    <font>
      <b/>
      <sz val="16"/>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7">
    <xf numFmtId="0" fontId="0" fillId="0" borderId="0" xfId="0"/>
    <xf numFmtId="0" fontId="0" fillId="0" borderId="0" xfId="0"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applyBorder="1"/>
    <xf numFmtId="0" fontId="2" fillId="0" borderId="0" xfId="0" applyFont="1" applyBorder="1"/>
    <xf numFmtId="0" fontId="0" fillId="0" borderId="0" xfId="0" applyAlignment="1">
      <alignment horizontal="center" vertical="center"/>
    </xf>
    <xf numFmtId="0" fontId="2" fillId="0" borderId="0" xfId="0" applyFont="1"/>
    <xf numFmtId="0" fontId="3" fillId="0" borderId="0" xfId="0" applyFont="1"/>
    <xf numFmtId="0" fontId="0" fillId="0" borderId="0" xfId="0" applyAlignment="1">
      <alignment horizontal="left" vertical="center" indent="1"/>
    </xf>
    <xf numFmtId="0" fontId="0" fillId="0" borderId="0" xfId="0" applyAlignment="1">
      <alignment horizontal="center"/>
    </xf>
    <xf numFmtId="0" fontId="3" fillId="2" borderId="9" xfId="0" applyFont="1" applyFill="1" applyBorder="1"/>
    <xf numFmtId="0" fontId="3" fillId="2" borderId="8" xfId="0" applyFont="1" applyFill="1" applyBorder="1"/>
    <xf numFmtId="0" fontId="3" fillId="2" borderId="6" xfId="0" applyFont="1" applyFill="1" applyBorder="1"/>
    <xf numFmtId="0" fontId="3" fillId="2" borderId="1" xfId="0" applyFont="1" applyFill="1" applyBorder="1"/>
    <xf numFmtId="0" fontId="0" fillId="0" borderId="0" xfId="0" applyNumberFormat="1"/>
    <xf numFmtId="0" fontId="0" fillId="0" borderId="0" xfId="0" applyAlignment="1">
      <alignment horizontal="left"/>
    </xf>
    <xf numFmtId="0" fontId="0" fillId="0" borderId="0" xfId="0" pivotButton="1"/>
    <xf numFmtId="0" fontId="0" fillId="0" borderId="0" xfId="0" applyAlignment="1">
      <alignment horizontal="left" indent="1"/>
    </xf>
    <xf numFmtId="0" fontId="4" fillId="3" borderId="0" xfId="0" applyFont="1" applyFill="1" applyBorder="1" applyAlignment="1">
      <alignment horizontal="center" vertical="center"/>
    </xf>
  </cellXfs>
  <cellStyles count="1">
    <cellStyle name="Normal" xfId="0" builtinId="0"/>
  </cellStyles>
  <dxfs count="14">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Suhrab%20Aria/Downloads/Montgomery_Fleet_Equipment_Inventory_FA_PART_2_END.XLSX.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RT www.Win2Farsi.com" refreshedDate="44360.777206018516" createdVersion="6" refreshedVersion="6" minRefreshableVersion="3" recordCount="49">
  <cacheSource type="worksheet">
    <worksheetSource name="Table1" r:id="rId2"/>
  </cacheSource>
  <cacheFields count="3">
    <cacheField name="Department" numFmtId="0">
      <sharedItems count="12">
        <s v="Housing and Community Affairs"/>
        <s v="Human Rights"/>
        <s v="Libraries"/>
        <s v="Liquor Control"/>
        <s v="Office Of Homeland Security"/>
        <s v="Permitting Services"/>
        <s v="Public Information Office"/>
        <s v="Recreation"/>
        <s v="Sheriffs Office"/>
        <s v="State Attorneys Office"/>
        <s v="Technology Services"/>
        <s v="Transportation"/>
      </sharedItems>
    </cacheField>
    <cacheField name="Equipment Class" numFmtId="0">
      <sharedItems count="14">
        <s v="Pick Up Trucks"/>
        <s v="SUV"/>
        <s v="Sedan"/>
        <s v="Van"/>
        <s v="Medium Duty"/>
        <s v="Heavy Duty"/>
        <s v="CUV"/>
        <s v="Off Road Vehicle Equipment"/>
        <s v="Public Safety SUV"/>
        <s v="Public Safety Van"/>
        <s v="Public Safety CUV"/>
        <s v="Public Safety Sedan"/>
        <s v="Public Safety Pick Up Trucks"/>
        <s v="Transit Bus"/>
      </sharedItems>
    </cacheField>
    <cacheField name="Equipment Count" numFmtId="0">
      <sharedItems containsSemiMixedTypes="0" containsString="0" containsNumber="1" containsInteger="1" minValue="1" maxValue="37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9">
  <r>
    <x v="0"/>
    <x v="0"/>
    <n v="21"/>
  </r>
  <r>
    <x v="0"/>
    <x v="1"/>
    <n v="1"/>
  </r>
  <r>
    <x v="0"/>
    <x v="2"/>
    <n v="23"/>
  </r>
  <r>
    <x v="1"/>
    <x v="2"/>
    <n v="2"/>
  </r>
  <r>
    <x v="2"/>
    <x v="0"/>
    <n v="3"/>
  </r>
  <r>
    <x v="2"/>
    <x v="3"/>
    <n v="2"/>
  </r>
  <r>
    <x v="2"/>
    <x v="4"/>
    <n v="1"/>
  </r>
  <r>
    <x v="3"/>
    <x v="3"/>
    <n v="2"/>
  </r>
  <r>
    <x v="3"/>
    <x v="5"/>
    <n v="42"/>
  </r>
  <r>
    <x v="3"/>
    <x v="1"/>
    <n v="1"/>
  </r>
  <r>
    <x v="3"/>
    <x v="2"/>
    <n v="11"/>
  </r>
  <r>
    <x v="4"/>
    <x v="1"/>
    <n v="1"/>
  </r>
  <r>
    <x v="5"/>
    <x v="6"/>
    <n v="9"/>
  </r>
  <r>
    <x v="5"/>
    <x v="1"/>
    <n v="27"/>
  </r>
  <r>
    <x v="5"/>
    <x v="0"/>
    <n v="24"/>
  </r>
  <r>
    <x v="5"/>
    <x v="3"/>
    <n v="1"/>
  </r>
  <r>
    <x v="5"/>
    <x v="2"/>
    <n v="48"/>
  </r>
  <r>
    <x v="6"/>
    <x v="3"/>
    <n v="1"/>
  </r>
  <r>
    <x v="7"/>
    <x v="2"/>
    <n v="6"/>
  </r>
  <r>
    <x v="7"/>
    <x v="0"/>
    <n v="5"/>
  </r>
  <r>
    <x v="7"/>
    <x v="1"/>
    <n v="2"/>
  </r>
  <r>
    <x v="7"/>
    <x v="3"/>
    <n v="15"/>
  </r>
  <r>
    <x v="7"/>
    <x v="7"/>
    <n v="7"/>
  </r>
  <r>
    <x v="8"/>
    <x v="8"/>
    <n v="20"/>
  </r>
  <r>
    <x v="8"/>
    <x v="2"/>
    <n v="1"/>
  </r>
  <r>
    <x v="8"/>
    <x v="4"/>
    <n v="1"/>
  </r>
  <r>
    <x v="8"/>
    <x v="0"/>
    <n v="3"/>
  </r>
  <r>
    <x v="8"/>
    <x v="1"/>
    <n v="1"/>
  </r>
  <r>
    <x v="8"/>
    <x v="9"/>
    <n v="8"/>
  </r>
  <r>
    <x v="8"/>
    <x v="10"/>
    <n v="4"/>
  </r>
  <r>
    <x v="8"/>
    <x v="11"/>
    <n v="46"/>
  </r>
  <r>
    <x v="8"/>
    <x v="12"/>
    <n v="1"/>
  </r>
  <r>
    <x v="9"/>
    <x v="11"/>
    <n v="1"/>
  </r>
  <r>
    <x v="9"/>
    <x v="3"/>
    <n v="1"/>
  </r>
  <r>
    <x v="9"/>
    <x v="1"/>
    <n v="1"/>
  </r>
  <r>
    <x v="9"/>
    <x v="2"/>
    <n v="2"/>
  </r>
  <r>
    <x v="10"/>
    <x v="0"/>
    <n v="1"/>
  </r>
  <r>
    <x v="10"/>
    <x v="6"/>
    <n v="1"/>
  </r>
  <r>
    <x v="10"/>
    <x v="3"/>
    <n v="11"/>
  </r>
  <r>
    <x v="10"/>
    <x v="1"/>
    <n v="3"/>
  </r>
  <r>
    <x v="11"/>
    <x v="0"/>
    <n v="93"/>
  </r>
  <r>
    <x v="11"/>
    <x v="5"/>
    <n v="248"/>
  </r>
  <r>
    <x v="11"/>
    <x v="13"/>
    <n v="379"/>
  </r>
  <r>
    <x v="11"/>
    <x v="1"/>
    <n v="53"/>
  </r>
  <r>
    <x v="11"/>
    <x v="3"/>
    <n v="32"/>
  </r>
  <r>
    <x v="11"/>
    <x v="4"/>
    <n v="98"/>
  </r>
  <r>
    <x v="11"/>
    <x v="7"/>
    <n v="276"/>
  </r>
  <r>
    <x v="11"/>
    <x v="6"/>
    <n v="5"/>
  </r>
  <r>
    <x v="11"/>
    <x v="2"/>
    <n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6" firstHeaderRow="1" firstDataRow="1" firstDataCol="1"/>
  <pivotFields count="3">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0"/>
  </rowFields>
  <rowItems count="13">
    <i>
      <x v="11"/>
    </i>
    <i>
      <x v="5"/>
    </i>
    <i>
      <x v="8"/>
    </i>
    <i>
      <x v="3"/>
    </i>
    <i>
      <x/>
    </i>
    <i>
      <x v="7"/>
    </i>
    <i>
      <x v="10"/>
    </i>
    <i>
      <x v="2"/>
    </i>
    <i>
      <x v="9"/>
    </i>
    <i>
      <x v="1"/>
    </i>
    <i>
      <x v="4"/>
    </i>
    <i>
      <x v="6"/>
    </i>
    <i t="grand">
      <x/>
    </i>
  </rowItems>
  <colItems count="1">
    <i/>
  </colItems>
  <dataFields count="1">
    <dataField name="Sum of Equipment 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7" firstHeaderRow="1" firstDataRow="1" firstDataCol="1"/>
  <pivotFields count="3">
    <pivotField axis="axisRow" showAll="0">
      <items count="13">
        <item sd="0" x="0"/>
        <item x="1"/>
        <item sd="0" x="2"/>
        <item sd="0" x="3"/>
        <item x="4"/>
        <item sd="0" x="5"/>
        <item sd="0" x="6"/>
        <item sd="0" x="7"/>
        <item sd="0" x="8"/>
        <item sd="0" x="9"/>
        <item sd="0" x="10"/>
        <item x="11"/>
        <item t="default"/>
      </items>
    </pivotField>
    <pivotField axis="axisRow" showAll="0">
      <items count="15">
        <item x="6"/>
        <item x="5"/>
        <item x="4"/>
        <item x="7"/>
        <item x="0"/>
        <item x="10"/>
        <item x="12"/>
        <item x="11"/>
        <item x="8"/>
        <item x="9"/>
        <item x="2"/>
        <item x="1"/>
        <item x="13"/>
        <item x="3"/>
        <item t="default"/>
      </items>
    </pivotField>
    <pivotField dataField="1" showAll="0"/>
  </pivotFields>
  <rowFields count="2">
    <field x="0"/>
    <field x="1"/>
  </rowFields>
  <rowItems count="24">
    <i>
      <x/>
    </i>
    <i>
      <x v="1"/>
    </i>
    <i r="1">
      <x v="10"/>
    </i>
    <i>
      <x v="2"/>
    </i>
    <i>
      <x v="3"/>
    </i>
    <i>
      <x v="4"/>
    </i>
    <i r="1">
      <x v="11"/>
    </i>
    <i>
      <x v="5"/>
    </i>
    <i>
      <x v="6"/>
    </i>
    <i>
      <x v="7"/>
    </i>
    <i>
      <x v="8"/>
    </i>
    <i>
      <x v="9"/>
    </i>
    <i>
      <x v="10"/>
    </i>
    <i>
      <x v="11"/>
    </i>
    <i r="1">
      <x/>
    </i>
    <i r="1">
      <x v="1"/>
    </i>
    <i r="1">
      <x v="2"/>
    </i>
    <i r="1">
      <x v="3"/>
    </i>
    <i r="1">
      <x v="4"/>
    </i>
    <i r="1">
      <x v="10"/>
    </i>
    <i r="1">
      <x v="11"/>
    </i>
    <i r="1">
      <x v="12"/>
    </i>
    <i r="1">
      <x v="13"/>
    </i>
    <i t="grand">
      <x/>
    </i>
  </rowItems>
  <colItems count="1">
    <i/>
  </colItems>
  <dataFields count="1">
    <dataField name="Sum of Equipment 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1" firstHeaderRow="1" firstDataRow="1" firstDataCol="1"/>
  <pivotFields count="3">
    <pivotField axis="axisRow" showAll="0">
      <items count="13">
        <item x="0"/>
        <item x="1"/>
        <item x="2"/>
        <item x="3"/>
        <item x="4"/>
        <item x="5"/>
        <item x="6"/>
        <item x="7"/>
        <item x="8"/>
        <item x="9"/>
        <item x="10"/>
        <item x="11"/>
        <item t="default"/>
      </items>
    </pivotField>
    <pivotField axis="axisRow" showAll="0">
      <items count="15">
        <item x="6"/>
        <item sd="0" x="5"/>
        <item sd="0" x="4"/>
        <item sd="0" x="7"/>
        <item sd="0" x="0"/>
        <item sd="0" x="10"/>
        <item sd="0" x="12"/>
        <item sd="0" x="11"/>
        <item sd="0" x="8"/>
        <item sd="0" x="9"/>
        <item sd="0" x="2"/>
        <item sd="0" x="1"/>
        <item sd="0" x="13"/>
        <item sd="0" x="3"/>
        <item t="default"/>
      </items>
    </pivotField>
    <pivotField dataField="1" showAll="0"/>
  </pivotFields>
  <rowFields count="2">
    <field x="1"/>
    <field x="0"/>
  </rowFields>
  <rowItems count="18">
    <i>
      <x/>
    </i>
    <i r="1">
      <x v="5"/>
    </i>
    <i r="1">
      <x v="10"/>
    </i>
    <i r="1">
      <x v="11"/>
    </i>
    <i>
      <x v="1"/>
    </i>
    <i>
      <x v="2"/>
    </i>
    <i>
      <x v="3"/>
    </i>
    <i>
      <x v="4"/>
    </i>
    <i>
      <x v="5"/>
    </i>
    <i>
      <x v="6"/>
    </i>
    <i>
      <x v="7"/>
    </i>
    <i>
      <x v="8"/>
    </i>
    <i>
      <x v="9"/>
    </i>
    <i>
      <x v="10"/>
    </i>
    <i>
      <x v="11"/>
    </i>
    <i>
      <x v="12"/>
    </i>
    <i>
      <x v="13"/>
    </i>
    <i t="grand">
      <x/>
    </i>
  </rowItems>
  <colItems count="1">
    <i/>
  </colItems>
  <dataFields count="1">
    <dataField name="Sum of Equipment 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Montgomery_Fleet_Equipment_Inventory_FA_PART_1_START" connectionId="1" autoFormatId="16" applyNumberFormats="0" applyBorderFormats="0" applyFontFormats="0" applyPatternFormats="0" applyAlignmentFormats="0" applyWidthHeightFormats="0"/>
</file>

<file path=xl/tables/table1.xml><?xml version="1.0" encoding="utf-8"?>
<table xmlns="http://schemas.openxmlformats.org/spreadsheetml/2006/main" id="1" name="Table1" displayName="Table1" ref="A1:C54" totalsRowShown="0" headerRowDxfId="13" headerRowBorderDxfId="12" tableBorderDxfId="11" totalsRowBorderDxfId="10">
  <autoFilter ref="A1:C54"/>
  <tableColumns count="3">
    <tableColumn id="7" name="Department3" dataDxfId="9"/>
    <tableColumn id="3" name="Equipment Class" dataDxfId="8"/>
    <tableColumn id="4" name="Equipment Count" dataDxfId="7"/>
  </tableColumns>
  <tableStyleInfo name="TableStyleLight9" showFirstColumn="0" showLastColumn="0" showRowStripes="1" showColumnStripes="0"/>
</table>
</file>

<file path=xl/tables/table2.xml><?xml version="1.0" encoding="utf-8"?>
<table xmlns="http://schemas.openxmlformats.org/spreadsheetml/2006/main" id="2" name="Table13" displayName="Table13" ref="A1:C55" totalsRowShown="0" headerRowDxfId="6" headerRowBorderDxfId="4" tableBorderDxfId="5" totalsRowBorderDxfId="3">
  <autoFilter ref="A1:C55"/>
  <tableColumns count="3">
    <tableColumn id="1" name="Department" dataDxfId="2"/>
    <tableColumn id="2" name="Equipment Class" dataDxfId="1"/>
    <tableColumn id="3" name="Equipment Coun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3"/>
  <sheetViews>
    <sheetView showGridLines="0" tabSelected="1" workbookViewId="0">
      <selection activeCell="F2" sqref="F2:K4"/>
    </sheetView>
  </sheetViews>
  <sheetFormatPr defaultRowHeight="15" x14ac:dyDescent="0.25"/>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26" t="s">
        <v>109</v>
      </c>
      <c r="G2" s="26"/>
      <c r="H2" s="26"/>
      <c r="I2" s="26"/>
      <c r="J2" s="26"/>
      <c r="K2" s="26"/>
      <c r="L2" s="1"/>
      <c r="M2" s="1"/>
      <c r="N2" s="1"/>
      <c r="O2" s="1"/>
      <c r="P2" s="1"/>
      <c r="Q2" s="1"/>
      <c r="R2" s="1"/>
      <c r="S2" s="1"/>
      <c r="T2" s="1"/>
      <c r="U2" s="1"/>
    </row>
    <row r="3" spans="1:21" x14ac:dyDescent="0.25">
      <c r="A3" s="1"/>
      <c r="B3" s="1"/>
      <c r="C3" s="1"/>
      <c r="D3" s="1"/>
      <c r="E3" s="1"/>
      <c r="F3" s="26"/>
      <c r="G3" s="26"/>
      <c r="H3" s="26"/>
      <c r="I3" s="26"/>
      <c r="J3" s="26"/>
      <c r="K3" s="26"/>
      <c r="L3" s="1"/>
      <c r="M3" s="1"/>
      <c r="N3" s="1"/>
      <c r="O3" s="1"/>
      <c r="P3" s="1"/>
      <c r="Q3" s="1"/>
      <c r="R3" s="1"/>
      <c r="S3" s="1"/>
      <c r="T3" s="1"/>
      <c r="U3" s="1"/>
    </row>
    <row r="4" spans="1:21" x14ac:dyDescent="0.25">
      <c r="A4" s="1"/>
      <c r="B4" s="1"/>
      <c r="C4" s="1"/>
      <c r="D4" s="1"/>
      <c r="E4" s="1"/>
      <c r="F4" s="26"/>
      <c r="G4" s="26"/>
      <c r="H4" s="26"/>
      <c r="I4" s="26"/>
      <c r="J4" s="26"/>
      <c r="K4" s="26"/>
      <c r="L4" s="1"/>
      <c r="M4" s="1"/>
      <c r="N4" s="1"/>
      <c r="O4" s="1"/>
      <c r="P4" s="1"/>
      <c r="Q4" s="1"/>
      <c r="R4" s="1"/>
      <c r="S4" s="1"/>
      <c r="T4" s="1"/>
      <c r="U4" s="1"/>
    </row>
    <row r="5" spans="1:21" ht="26.25" x14ac:dyDescent="0.4">
      <c r="A5" s="1"/>
      <c r="B5" s="11" t="s">
        <v>88</v>
      </c>
      <c r="C5" s="1"/>
      <c r="D5" s="1"/>
      <c r="E5" s="1"/>
      <c r="F5" s="1"/>
      <c r="G5" s="1"/>
      <c r="H5" s="1"/>
      <c r="I5" s="1"/>
      <c r="J5" s="1"/>
      <c r="K5" s="1"/>
      <c r="L5" s="1"/>
      <c r="M5" s="1"/>
      <c r="N5" s="1"/>
      <c r="O5" s="1"/>
      <c r="P5" s="1"/>
      <c r="Q5" s="1"/>
      <c r="R5" s="1"/>
      <c r="S5" s="1"/>
      <c r="T5" s="1"/>
      <c r="U5" s="1"/>
    </row>
    <row r="6" spans="1:21" x14ac:dyDescent="0.25">
      <c r="A6" s="1"/>
      <c r="B6" s="1"/>
      <c r="C6" s="1"/>
      <c r="D6" s="1"/>
      <c r="E6" s="1"/>
      <c r="F6" s="1"/>
      <c r="G6" s="1"/>
      <c r="H6" s="1"/>
      <c r="I6" s="1"/>
      <c r="J6" s="1"/>
      <c r="K6" s="1"/>
      <c r="L6" s="1"/>
      <c r="M6" s="1"/>
      <c r="N6" s="1"/>
      <c r="O6" s="1"/>
      <c r="P6" s="1"/>
      <c r="Q6" s="1"/>
      <c r="R6" s="1"/>
      <c r="S6" s="1"/>
      <c r="T6" s="1"/>
      <c r="U6" s="1"/>
    </row>
    <row r="7" spans="1:21" x14ac:dyDescent="0.25">
      <c r="A7" s="1"/>
      <c r="B7" s="1"/>
      <c r="C7" s="1"/>
      <c r="D7" s="1"/>
      <c r="E7" s="1"/>
      <c r="F7" s="1"/>
      <c r="G7" s="1"/>
      <c r="H7" s="1"/>
      <c r="I7" s="1"/>
      <c r="J7" s="1"/>
      <c r="K7" s="1"/>
      <c r="L7" s="1"/>
      <c r="M7" s="1"/>
      <c r="N7" s="1"/>
      <c r="O7" s="1"/>
      <c r="P7" s="1"/>
      <c r="Q7" s="1"/>
      <c r="R7" s="1"/>
      <c r="S7" s="1"/>
      <c r="T7" s="1"/>
      <c r="U7" s="1"/>
    </row>
    <row r="8" spans="1:21" x14ac:dyDescent="0.25">
      <c r="A8" s="1"/>
      <c r="B8" s="1"/>
      <c r="C8" s="1"/>
      <c r="D8" s="1"/>
      <c r="E8" s="1"/>
      <c r="F8" s="1"/>
      <c r="G8" s="1"/>
      <c r="H8" s="1"/>
      <c r="I8" s="1"/>
      <c r="J8" s="1"/>
      <c r="K8" s="1"/>
      <c r="L8" s="1"/>
      <c r="M8" s="1"/>
      <c r="N8" s="1"/>
      <c r="O8" s="1"/>
      <c r="P8" s="1"/>
      <c r="Q8" s="1"/>
      <c r="R8" s="1"/>
      <c r="S8" s="1"/>
      <c r="T8" s="1"/>
      <c r="U8" s="1"/>
    </row>
    <row r="9" spans="1:21" x14ac:dyDescent="0.25">
      <c r="A9" s="1"/>
      <c r="B9" s="1"/>
      <c r="C9" s="1"/>
      <c r="D9" s="1"/>
      <c r="E9" s="1"/>
      <c r="F9" s="1"/>
      <c r="G9" s="1"/>
      <c r="H9" s="1"/>
      <c r="I9" s="1"/>
      <c r="J9" s="1"/>
      <c r="K9" s="1"/>
      <c r="L9" s="1"/>
      <c r="M9" s="1"/>
      <c r="N9" s="1"/>
      <c r="O9" s="1"/>
      <c r="P9" s="1"/>
      <c r="Q9" s="1"/>
      <c r="R9" s="1"/>
      <c r="S9" s="1"/>
      <c r="T9" s="1"/>
      <c r="U9" s="1"/>
    </row>
    <row r="10" spans="1:21" ht="21" x14ac:dyDescent="0.35">
      <c r="A10" s="1"/>
      <c r="B10" s="12" t="s">
        <v>70</v>
      </c>
      <c r="C10" s="1"/>
      <c r="D10" s="1"/>
      <c r="E10" s="1"/>
      <c r="F10" s="1"/>
      <c r="G10" s="1"/>
      <c r="H10" s="1"/>
      <c r="I10" s="1"/>
      <c r="J10" s="1"/>
      <c r="K10" s="1"/>
      <c r="L10" s="1"/>
      <c r="M10" s="1"/>
      <c r="N10" s="1"/>
      <c r="O10" s="1"/>
      <c r="P10" s="1"/>
      <c r="Q10" s="1"/>
      <c r="R10" s="1"/>
      <c r="S10" s="1"/>
      <c r="T10" s="1"/>
      <c r="U10" s="1"/>
    </row>
    <row r="11" spans="1:21" x14ac:dyDescent="0.25">
      <c r="A11" s="1"/>
      <c r="B11" s="1" t="s">
        <v>62</v>
      </c>
      <c r="C11" s="1"/>
      <c r="D11" s="1"/>
      <c r="E11" s="1"/>
      <c r="F11" s="1"/>
      <c r="G11" s="1"/>
      <c r="H11" s="1"/>
      <c r="I11" s="1"/>
      <c r="J11" s="1"/>
      <c r="K11" s="1"/>
      <c r="L11" s="1"/>
      <c r="M11" s="1"/>
      <c r="N11" s="1"/>
      <c r="O11" s="1"/>
      <c r="P11" s="1"/>
      <c r="Q11" s="1"/>
      <c r="R11" s="1"/>
      <c r="S11" s="1"/>
      <c r="T11" s="1"/>
      <c r="U11" s="1"/>
    </row>
    <row r="12" spans="1:21" x14ac:dyDescent="0.25">
      <c r="B12" s="13">
        <v>1</v>
      </c>
      <c r="C12" t="s">
        <v>66</v>
      </c>
    </row>
    <row r="13" spans="1:21" x14ac:dyDescent="0.25">
      <c r="B13" s="13"/>
    </row>
    <row r="14" spans="1:21" x14ac:dyDescent="0.25">
      <c r="B14" s="13">
        <v>3</v>
      </c>
      <c r="C14" t="s">
        <v>63</v>
      </c>
    </row>
    <row r="15" spans="1:21" x14ac:dyDescent="0.25">
      <c r="B15" s="13"/>
    </row>
    <row r="16" spans="1:21" x14ac:dyDescent="0.25">
      <c r="B16" s="13">
        <v>5</v>
      </c>
      <c r="C16" t="s">
        <v>64</v>
      </c>
    </row>
    <row r="17" spans="2:9" x14ac:dyDescent="0.25">
      <c r="B17" s="13">
        <v>6</v>
      </c>
    </row>
    <row r="18" spans="2:9" x14ac:dyDescent="0.25">
      <c r="B18" s="13">
        <v>7</v>
      </c>
      <c r="C18" t="s">
        <v>67</v>
      </c>
    </row>
    <row r="19" spans="2:9" x14ac:dyDescent="0.25">
      <c r="B19" s="13">
        <v>8</v>
      </c>
    </row>
    <row r="20" spans="2:9" x14ac:dyDescent="0.25">
      <c r="B20" s="13">
        <v>9</v>
      </c>
      <c r="C20" t="s">
        <v>65</v>
      </c>
    </row>
    <row r="21" spans="2:9" x14ac:dyDescent="0.25">
      <c r="B21" s="13">
        <v>10</v>
      </c>
    </row>
    <row r="22" spans="2:9" x14ac:dyDescent="0.25">
      <c r="B22" s="13">
        <v>11</v>
      </c>
      <c r="C22" t="s">
        <v>68</v>
      </c>
    </row>
    <row r="23" spans="2:9" x14ac:dyDescent="0.25">
      <c r="B23" s="13">
        <v>12</v>
      </c>
    </row>
    <row r="24" spans="2:9" x14ac:dyDescent="0.25">
      <c r="B24" s="13">
        <v>13</v>
      </c>
      <c r="C24" t="s">
        <v>69</v>
      </c>
    </row>
    <row r="29" spans="2:9" ht="21" x14ac:dyDescent="0.35">
      <c r="B29" s="14" t="s">
        <v>71</v>
      </c>
      <c r="C29" s="14"/>
      <c r="D29" s="14"/>
    </row>
    <row r="30" spans="2:9" x14ac:dyDescent="0.25">
      <c r="B30" s="1" t="s">
        <v>72</v>
      </c>
      <c r="C30" s="1"/>
      <c r="D30" s="1"/>
      <c r="E30" s="1"/>
      <c r="F30" s="1"/>
      <c r="G30" s="1"/>
      <c r="H30" s="1"/>
      <c r="I30" s="1"/>
    </row>
    <row r="31" spans="2:9" x14ac:dyDescent="0.25">
      <c r="B31" s="13"/>
      <c r="C31" s="15"/>
    </row>
    <row r="32" spans="2:9" x14ac:dyDescent="0.25">
      <c r="B32" s="13">
        <v>1</v>
      </c>
      <c r="C32" s="15" t="s">
        <v>87</v>
      </c>
    </row>
    <row r="33" spans="2:3" x14ac:dyDescent="0.25">
      <c r="B33" s="13"/>
      <c r="C33" s="15"/>
    </row>
    <row r="34" spans="2:3" x14ac:dyDescent="0.25">
      <c r="B34" s="13">
        <v>2</v>
      </c>
      <c r="C34" s="15" t="s">
        <v>73</v>
      </c>
    </row>
    <row r="35" spans="2:3" x14ac:dyDescent="0.25">
      <c r="B35" s="13"/>
      <c r="C35" s="15"/>
    </row>
    <row r="36" spans="2:3" x14ac:dyDescent="0.25">
      <c r="B36" s="13"/>
      <c r="C36" s="15" t="s">
        <v>74</v>
      </c>
    </row>
    <row r="37" spans="2:3" x14ac:dyDescent="0.25">
      <c r="B37" s="17"/>
      <c r="C37" s="16" t="s">
        <v>75</v>
      </c>
    </row>
    <row r="38" spans="2:3" x14ac:dyDescent="0.25">
      <c r="B38" s="17"/>
      <c r="C38" s="16" t="s">
        <v>76</v>
      </c>
    </row>
    <row r="39" spans="2:3" x14ac:dyDescent="0.25">
      <c r="B39" s="17"/>
      <c r="C39" s="16" t="s">
        <v>77</v>
      </c>
    </row>
    <row r="40" spans="2:3" x14ac:dyDescent="0.25">
      <c r="B40" s="17"/>
      <c r="C40" s="16" t="s">
        <v>78</v>
      </c>
    </row>
    <row r="41" spans="2:3" x14ac:dyDescent="0.25">
      <c r="B41" s="17"/>
    </row>
    <row r="42" spans="2:3" x14ac:dyDescent="0.25">
      <c r="B42" s="17">
        <v>3</v>
      </c>
      <c r="C42" t="s">
        <v>79</v>
      </c>
    </row>
    <row r="43" spans="2:3" x14ac:dyDescent="0.25">
      <c r="B43" s="17"/>
    </row>
    <row r="44" spans="2:3" x14ac:dyDescent="0.25">
      <c r="B44" s="17">
        <v>4</v>
      </c>
      <c r="C44" t="s">
        <v>80</v>
      </c>
    </row>
    <row r="45" spans="2:3" x14ac:dyDescent="0.25">
      <c r="B45" s="17"/>
    </row>
    <row r="46" spans="2:3" x14ac:dyDescent="0.25">
      <c r="B46" s="17">
        <v>5</v>
      </c>
      <c r="C46" t="s">
        <v>81</v>
      </c>
    </row>
    <row r="47" spans="2:3" x14ac:dyDescent="0.25">
      <c r="B47" s="17"/>
    </row>
    <row r="48" spans="2:3" x14ac:dyDescent="0.25">
      <c r="B48" s="17">
        <v>6</v>
      </c>
      <c r="C48" t="s">
        <v>82</v>
      </c>
    </row>
    <row r="49" spans="2:3" x14ac:dyDescent="0.25">
      <c r="B49" s="17"/>
    </row>
    <row r="50" spans="2:3" x14ac:dyDescent="0.25">
      <c r="B50" s="17"/>
      <c r="C50" t="s">
        <v>83</v>
      </c>
    </row>
    <row r="51" spans="2:3" x14ac:dyDescent="0.25">
      <c r="B51" s="17"/>
      <c r="C51" t="s">
        <v>84</v>
      </c>
    </row>
    <row r="52" spans="2:3" x14ac:dyDescent="0.25">
      <c r="B52" s="17"/>
      <c r="C52" t="s">
        <v>85</v>
      </c>
    </row>
    <row r="53" spans="2:3" x14ac:dyDescent="0.25">
      <c r="B53" s="17"/>
      <c r="C53" t="s">
        <v>86</v>
      </c>
    </row>
  </sheetData>
  <mergeCells count="1">
    <mergeCell ref="F2:K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3"/>
  <sheetViews>
    <sheetView workbookViewId="0"/>
  </sheetViews>
  <sheetFormatPr defaultRowHeight="15" x14ac:dyDescent="0.25"/>
  <cols>
    <col min="1" max="1" width="23.5703125" bestFit="1" customWidth="1"/>
    <col min="2" max="2" width="13.7109375" bestFit="1" customWidth="1"/>
    <col min="3" max="3" width="26.140625" bestFit="1" customWidth="1"/>
    <col min="4" max="4" width="16.5703125" bestFit="1" customWidth="1"/>
  </cols>
  <sheetData>
    <row r="1" spans="1:4" x14ac:dyDescent="0.25">
      <c r="A1" t="s">
        <v>0</v>
      </c>
      <c r="B1" t="s">
        <v>0</v>
      </c>
      <c r="C1" t="s">
        <v>1</v>
      </c>
      <c r="D1" t="s">
        <v>2</v>
      </c>
    </row>
    <row r="2" spans="1:4" x14ac:dyDescent="0.25">
      <c r="A2" t="s">
        <v>3</v>
      </c>
      <c r="B2" t="s">
        <v>4</v>
      </c>
      <c r="C2" t="s">
        <v>5</v>
      </c>
      <c r="D2">
        <v>1</v>
      </c>
    </row>
    <row r="3" spans="1:4" x14ac:dyDescent="0.25">
      <c r="A3" t="s">
        <v>3</v>
      </c>
      <c r="B3" t="s">
        <v>4</v>
      </c>
      <c r="C3" t="s">
        <v>6</v>
      </c>
      <c r="D3">
        <v>2</v>
      </c>
    </row>
    <row r="4" spans="1:4" x14ac:dyDescent="0.25">
      <c r="A4" t="s">
        <v>7</v>
      </c>
      <c r="B4" t="s">
        <v>8</v>
      </c>
      <c r="C4" t="s">
        <v>9</v>
      </c>
      <c r="D4">
        <v>1</v>
      </c>
    </row>
    <row r="5" spans="1:4" x14ac:dyDescent="0.25">
      <c r="A5" t="s">
        <v>10</v>
      </c>
      <c r="B5" t="s">
        <v>11</v>
      </c>
      <c r="C5" t="s">
        <v>12</v>
      </c>
      <c r="D5">
        <v>8</v>
      </c>
    </row>
    <row r="6" spans="1:4" x14ac:dyDescent="0.25">
      <c r="A6" t="s">
        <v>10</v>
      </c>
      <c r="B6" t="s">
        <v>11</v>
      </c>
      <c r="C6" t="s">
        <v>6</v>
      </c>
      <c r="D6">
        <v>7</v>
      </c>
    </row>
    <row r="7" spans="1:4" x14ac:dyDescent="0.25">
      <c r="A7" t="s">
        <v>10</v>
      </c>
      <c r="B7" t="s">
        <v>11</v>
      </c>
      <c r="C7" t="s">
        <v>9</v>
      </c>
      <c r="D7">
        <v>2</v>
      </c>
    </row>
    <row r="9" spans="1:4" x14ac:dyDescent="0.25">
      <c r="A9" t="s">
        <v>13</v>
      </c>
      <c r="B9" t="s">
        <v>14</v>
      </c>
      <c r="C9" t="s">
        <v>15</v>
      </c>
      <c r="D9">
        <v>1</v>
      </c>
    </row>
    <row r="10" spans="1:4" x14ac:dyDescent="0.25">
      <c r="A10" t="s">
        <v>13</v>
      </c>
      <c r="B10" t="s">
        <v>14</v>
      </c>
      <c r="C10" t="s">
        <v>15</v>
      </c>
      <c r="D10">
        <v>1</v>
      </c>
    </row>
    <row r="11" spans="1:4" x14ac:dyDescent="0.25">
      <c r="A11" t="s">
        <v>16</v>
      </c>
      <c r="B11" t="s">
        <v>17</v>
      </c>
      <c r="C11" t="s">
        <v>15</v>
      </c>
      <c r="D11">
        <v>1</v>
      </c>
    </row>
    <row r="12" spans="1:4" x14ac:dyDescent="0.25">
      <c r="A12" t="s">
        <v>18</v>
      </c>
      <c r="B12" t="s">
        <v>19</v>
      </c>
      <c r="C12" t="s">
        <v>6</v>
      </c>
      <c r="D12">
        <v>3</v>
      </c>
    </row>
    <row r="13" spans="1:4" x14ac:dyDescent="0.25">
      <c r="A13" t="s">
        <v>18</v>
      </c>
      <c r="B13" t="s">
        <v>20</v>
      </c>
      <c r="C13" t="s">
        <v>21</v>
      </c>
      <c r="D13">
        <v>1</v>
      </c>
    </row>
    <row r="14" spans="1:4" x14ac:dyDescent="0.25">
      <c r="A14" t="s">
        <v>18</v>
      </c>
      <c r="B14" t="s">
        <v>19</v>
      </c>
      <c r="C14" t="s">
        <v>22</v>
      </c>
      <c r="D14">
        <v>2</v>
      </c>
    </row>
    <row r="15" spans="1:4" x14ac:dyDescent="0.25">
      <c r="A15" t="s">
        <v>18</v>
      </c>
      <c r="B15" t="s">
        <v>19</v>
      </c>
      <c r="C15" t="s">
        <v>9</v>
      </c>
      <c r="D15">
        <v>3</v>
      </c>
    </row>
    <row r="16" spans="1:4" x14ac:dyDescent="0.25">
      <c r="A16" t="s">
        <v>18</v>
      </c>
      <c r="B16" t="s">
        <v>19</v>
      </c>
      <c r="C16" t="s">
        <v>23</v>
      </c>
      <c r="D16">
        <v>1</v>
      </c>
    </row>
    <row r="17" spans="1:4" x14ac:dyDescent="0.25">
      <c r="A17" t="s">
        <v>18</v>
      </c>
      <c r="B17" t="s">
        <v>19</v>
      </c>
      <c r="C17" t="s">
        <v>5</v>
      </c>
      <c r="D17">
        <v>8</v>
      </c>
    </row>
    <row r="18" spans="1:4" x14ac:dyDescent="0.25">
      <c r="A18" t="s">
        <v>18</v>
      </c>
      <c r="B18" t="s">
        <v>19</v>
      </c>
      <c r="C18" t="s">
        <v>15</v>
      </c>
      <c r="D18">
        <v>10</v>
      </c>
    </row>
    <row r="19" spans="1:4" x14ac:dyDescent="0.25">
      <c r="A19" t="s">
        <v>18</v>
      </c>
      <c r="B19" t="s">
        <v>19</v>
      </c>
      <c r="C19" t="s">
        <v>24</v>
      </c>
      <c r="D19">
        <v>1</v>
      </c>
    </row>
    <row r="20" spans="1:4" x14ac:dyDescent="0.25">
      <c r="A20" t="s">
        <v>25</v>
      </c>
      <c r="B20" t="s">
        <v>26</v>
      </c>
      <c r="C20" t="s">
        <v>15</v>
      </c>
      <c r="D20">
        <v>2</v>
      </c>
    </row>
    <row r="21" spans="1:4" x14ac:dyDescent="0.25">
      <c r="A21" t="s">
        <v>25</v>
      </c>
      <c r="B21" t="s">
        <v>26</v>
      </c>
      <c r="C21" t="s">
        <v>27</v>
      </c>
      <c r="D21">
        <v>3</v>
      </c>
    </row>
    <row r="22" spans="1:4" x14ac:dyDescent="0.25">
      <c r="A22" t="s">
        <v>28</v>
      </c>
      <c r="B22" t="s">
        <v>29</v>
      </c>
      <c r="C22" t="s">
        <v>9</v>
      </c>
      <c r="D22">
        <v>1</v>
      </c>
    </row>
    <row r="24" spans="1:4" x14ac:dyDescent="0.25">
      <c r="A24" t="s">
        <v>30</v>
      </c>
      <c r="B24" t="s">
        <v>17</v>
      </c>
      <c r="C24" t="s">
        <v>9</v>
      </c>
      <c r="D24">
        <v>18</v>
      </c>
    </row>
    <row r="25" spans="1:4" x14ac:dyDescent="0.25">
      <c r="A25" t="s">
        <v>30</v>
      </c>
      <c r="B25" t="s">
        <v>17</v>
      </c>
      <c r="C25" t="s">
        <v>15</v>
      </c>
      <c r="D25">
        <v>15</v>
      </c>
    </row>
    <row r="26" spans="1:4" x14ac:dyDescent="0.25">
      <c r="A26" t="s">
        <v>30</v>
      </c>
      <c r="B26" t="s">
        <v>17</v>
      </c>
      <c r="C26" t="s">
        <v>5</v>
      </c>
      <c r="D26">
        <v>3</v>
      </c>
    </row>
    <row r="27" spans="1:4" x14ac:dyDescent="0.25">
      <c r="A27" t="s">
        <v>30</v>
      </c>
      <c r="B27" t="s">
        <v>17</v>
      </c>
      <c r="C27" t="s">
        <v>24</v>
      </c>
      <c r="D27">
        <v>1</v>
      </c>
    </row>
    <row r="28" spans="1:4" x14ac:dyDescent="0.25">
      <c r="A28" t="s">
        <v>30</v>
      </c>
      <c r="B28" t="s">
        <v>17</v>
      </c>
      <c r="C28" t="s">
        <v>24</v>
      </c>
      <c r="D28">
        <v>1</v>
      </c>
    </row>
    <row r="29" spans="1:4" x14ac:dyDescent="0.25">
      <c r="A29" t="s">
        <v>30</v>
      </c>
      <c r="B29" t="s">
        <v>17</v>
      </c>
      <c r="C29" t="s">
        <v>31</v>
      </c>
      <c r="D29">
        <v>2</v>
      </c>
    </row>
    <row r="30" spans="1:4" x14ac:dyDescent="0.25">
      <c r="A30" t="s">
        <v>30</v>
      </c>
      <c r="B30" t="s">
        <v>17</v>
      </c>
      <c r="C30" t="s">
        <v>23</v>
      </c>
      <c r="D30">
        <v>33</v>
      </c>
    </row>
    <row r="31" spans="1:4" x14ac:dyDescent="0.25">
      <c r="A31" t="s">
        <v>32</v>
      </c>
      <c r="C31" t="s">
        <v>15</v>
      </c>
      <c r="D31">
        <v>3</v>
      </c>
    </row>
    <row r="32" spans="1:4" x14ac:dyDescent="0.25">
      <c r="A32" t="s">
        <v>33</v>
      </c>
      <c r="B32" t="s">
        <v>34</v>
      </c>
      <c r="C32" t="s">
        <v>27</v>
      </c>
      <c r="D32">
        <v>27</v>
      </c>
    </row>
    <row r="33" spans="1:4" x14ac:dyDescent="0.25">
      <c r="A33" t="s">
        <v>33</v>
      </c>
      <c r="B33" t="s">
        <v>34</v>
      </c>
      <c r="C33" t="s">
        <v>35</v>
      </c>
      <c r="D33">
        <v>12</v>
      </c>
    </row>
    <row r="34" spans="1:4" x14ac:dyDescent="0.25">
      <c r="A34" t="s">
        <v>33</v>
      </c>
      <c r="B34" t="s">
        <v>34</v>
      </c>
      <c r="C34" t="s">
        <v>35</v>
      </c>
      <c r="D34">
        <v>12</v>
      </c>
    </row>
    <row r="35" spans="1:4" x14ac:dyDescent="0.25">
      <c r="A35" t="s">
        <v>33</v>
      </c>
      <c r="B35" t="s">
        <v>34</v>
      </c>
      <c r="C35" t="s">
        <v>36</v>
      </c>
      <c r="D35">
        <v>18</v>
      </c>
    </row>
    <row r="36" spans="1:4" x14ac:dyDescent="0.25">
      <c r="A36" t="s">
        <v>33</v>
      </c>
      <c r="B36" t="s">
        <v>34</v>
      </c>
      <c r="C36" t="s">
        <v>37</v>
      </c>
      <c r="D36">
        <v>11</v>
      </c>
    </row>
    <row r="38" spans="1:4" x14ac:dyDescent="0.25">
      <c r="A38" t="s">
        <v>33</v>
      </c>
      <c r="B38" t="s">
        <v>34</v>
      </c>
      <c r="C38" t="s">
        <v>9</v>
      </c>
      <c r="D38">
        <v>6</v>
      </c>
    </row>
    <row r="39" spans="1:4" x14ac:dyDescent="0.25">
      <c r="A39" t="s">
        <v>33</v>
      </c>
      <c r="B39" t="s">
        <v>34</v>
      </c>
      <c r="C39" t="s">
        <v>5</v>
      </c>
      <c r="D39">
        <v>4</v>
      </c>
    </row>
    <row r="40" spans="1:4" x14ac:dyDescent="0.25">
      <c r="A40" t="s">
        <v>33</v>
      </c>
      <c r="B40" t="s">
        <v>34</v>
      </c>
      <c r="C40" t="s">
        <v>6</v>
      </c>
      <c r="D40">
        <v>2</v>
      </c>
    </row>
    <row r="41" spans="1:4" x14ac:dyDescent="0.25">
      <c r="A41" t="s">
        <v>33</v>
      </c>
      <c r="B41" t="s">
        <v>38</v>
      </c>
      <c r="C41" t="s">
        <v>23</v>
      </c>
      <c r="D41">
        <v>12</v>
      </c>
    </row>
    <row r="42" spans="1:4" x14ac:dyDescent="0.25">
      <c r="A42" t="s">
        <v>33</v>
      </c>
      <c r="B42" t="s">
        <v>34</v>
      </c>
      <c r="C42" t="s">
        <v>15</v>
      </c>
      <c r="D42">
        <v>1</v>
      </c>
    </row>
    <row r="43" spans="1:4" x14ac:dyDescent="0.25">
      <c r="A43" t="s">
        <v>33</v>
      </c>
      <c r="B43" t="s">
        <v>34</v>
      </c>
      <c r="C43" t="s">
        <v>39</v>
      </c>
      <c r="D43">
        <v>4</v>
      </c>
    </row>
    <row r="44" spans="1:4" x14ac:dyDescent="0.25">
      <c r="A44" t="s">
        <v>33</v>
      </c>
      <c r="B44" t="s">
        <v>34</v>
      </c>
      <c r="C44" t="s">
        <v>40</v>
      </c>
      <c r="D44">
        <v>1</v>
      </c>
    </row>
    <row r="45" spans="1:4" x14ac:dyDescent="0.25">
      <c r="A45" t="s">
        <v>33</v>
      </c>
      <c r="B45" t="s">
        <v>34</v>
      </c>
      <c r="C45" t="s">
        <v>41</v>
      </c>
      <c r="D45">
        <v>1</v>
      </c>
    </row>
    <row r="46" spans="1:4" x14ac:dyDescent="0.25">
      <c r="A46" t="s">
        <v>33</v>
      </c>
      <c r="B46" t="s">
        <v>34</v>
      </c>
      <c r="C46" t="s">
        <v>42</v>
      </c>
      <c r="D46">
        <v>1</v>
      </c>
    </row>
    <row r="47" spans="1:4" x14ac:dyDescent="0.25">
      <c r="A47" t="s">
        <v>33</v>
      </c>
      <c r="B47" t="s">
        <v>34</v>
      </c>
      <c r="C47" t="s">
        <v>39</v>
      </c>
      <c r="D47">
        <v>4</v>
      </c>
    </row>
    <row r="50" spans="1:4" x14ac:dyDescent="0.25">
      <c r="A50" t="s">
        <v>43</v>
      </c>
      <c r="B50" t="s">
        <v>44</v>
      </c>
      <c r="C50" t="s">
        <v>37</v>
      </c>
      <c r="D50">
        <v>1</v>
      </c>
    </row>
    <row r="51" spans="1:4" x14ac:dyDescent="0.25">
      <c r="A51" t="s">
        <v>43</v>
      </c>
      <c r="B51" t="s">
        <v>44</v>
      </c>
      <c r="C51" t="s">
        <v>9</v>
      </c>
      <c r="D51">
        <v>21</v>
      </c>
    </row>
    <row r="52" spans="1:4" x14ac:dyDescent="0.25">
      <c r="A52" t="s">
        <v>43</v>
      </c>
      <c r="B52" t="s">
        <v>44</v>
      </c>
      <c r="C52" t="s">
        <v>40</v>
      </c>
      <c r="D52">
        <v>1</v>
      </c>
    </row>
    <row r="53" spans="1:4" x14ac:dyDescent="0.25">
      <c r="A53" t="s">
        <v>43</v>
      </c>
      <c r="B53" t="s">
        <v>44</v>
      </c>
      <c r="C53" t="s">
        <v>6</v>
      </c>
      <c r="D53">
        <v>45</v>
      </c>
    </row>
    <row r="54" spans="1:4" x14ac:dyDescent="0.25">
      <c r="A54" t="s">
        <v>43</v>
      </c>
      <c r="B54" t="s">
        <v>44</v>
      </c>
      <c r="C54" t="s">
        <v>15</v>
      </c>
      <c r="D54">
        <v>31</v>
      </c>
    </row>
    <row r="55" spans="1:4" x14ac:dyDescent="0.25">
      <c r="A55" t="s">
        <v>43</v>
      </c>
      <c r="B55" t="s">
        <v>44</v>
      </c>
      <c r="C55" t="s">
        <v>31</v>
      </c>
      <c r="D55">
        <v>3</v>
      </c>
    </row>
    <row r="56" spans="1:4" x14ac:dyDescent="0.25">
      <c r="A56" t="s">
        <v>43</v>
      </c>
      <c r="B56" t="s">
        <v>44</v>
      </c>
      <c r="C56" t="s">
        <v>5</v>
      </c>
      <c r="D56">
        <v>42</v>
      </c>
    </row>
    <row r="57" spans="1:4" x14ac:dyDescent="0.25">
      <c r="A57" t="s">
        <v>43</v>
      </c>
      <c r="B57" t="s">
        <v>44</v>
      </c>
      <c r="C57" t="s">
        <v>24</v>
      </c>
      <c r="D57">
        <v>5</v>
      </c>
    </row>
    <row r="58" spans="1:4" x14ac:dyDescent="0.25">
      <c r="A58" t="s">
        <v>43</v>
      </c>
      <c r="B58" t="s">
        <v>45</v>
      </c>
      <c r="C58" t="s">
        <v>41</v>
      </c>
      <c r="D58">
        <v>5</v>
      </c>
    </row>
    <row r="59" spans="1:4" x14ac:dyDescent="0.25">
      <c r="A59" t="s">
        <v>43</v>
      </c>
      <c r="B59" t="s">
        <v>44</v>
      </c>
      <c r="C59" t="s">
        <v>23</v>
      </c>
      <c r="D59">
        <v>48</v>
      </c>
    </row>
    <row r="60" spans="1:4" x14ac:dyDescent="0.25">
      <c r="A60" t="s">
        <v>46</v>
      </c>
      <c r="B60" t="s">
        <v>44</v>
      </c>
      <c r="C60" t="s">
        <v>24</v>
      </c>
      <c r="D60">
        <v>5</v>
      </c>
    </row>
    <row r="61" spans="1:4" x14ac:dyDescent="0.25">
      <c r="A61" t="s">
        <v>46</v>
      </c>
      <c r="B61" t="s">
        <v>45</v>
      </c>
      <c r="C61" t="s">
        <v>5</v>
      </c>
      <c r="D61">
        <v>15</v>
      </c>
    </row>
    <row r="62" spans="1:4" x14ac:dyDescent="0.25">
      <c r="A62" t="s">
        <v>46</v>
      </c>
      <c r="B62" t="s">
        <v>44</v>
      </c>
      <c r="C62" t="s">
        <v>27</v>
      </c>
      <c r="D62">
        <v>1</v>
      </c>
    </row>
    <row r="63" spans="1:4" x14ac:dyDescent="0.25">
      <c r="A63" t="s">
        <v>46</v>
      </c>
      <c r="B63" t="s">
        <v>44</v>
      </c>
      <c r="C63" t="s">
        <v>15</v>
      </c>
      <c r="D63">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
  <sheetViews>
    <sheetView workbookViewId="0">
      <selection activeCell="B8" sqref="B8"/>
    </sheetView>
  </sheetViews>
  <sheetFormatPr defaultRowHeight="15" x14ac:dyDescent="0.25"/>
  <cols>
    <col min="1" max="1" width="32.140625" bestFit="1" customWidth="1"/>
    <col min="2" max="2" width="26.140625" bestFit="1" customWidth="1"/>
    <col min="3" max="3" width="18.5703125" customWidth="1"/>
  </cols>
  <sheetData>
    <row r="1" spans="1:3" x14ac:dyDescent="0.25">
      <c r="A1" s="3" t="s">
        <v>48</v>
      </c>
      <c r="B1" s="4" t="s">
        <v>1</v>
      </c>
      <c r="C1" s="5" t="s">
        <v>2</v>
      </c>
    </row>
    <row r="2" spans="1:3" x14ac:dyDescent="0.25">
      <c r="A2" s="6" t="s">
        <v>49</v>
      </c>
      <c r="B2" s="2" t="s">
        <v>5</v>
      </c>
      <c r="C2" s="7">
        <v>1</v>
      </c>
    </row>
    <row r="3" spans="1:3" x14ac:dyDescent="0.25">
      <c r="A3" s="6" t="s">
        <v>49</v>
      </c>
      <c r="B3" s="2" t="s">
        <v>47</v>
      </c>
      <c r="C3" s="7">
        <v>2</v>
      </c>
    </row>
    <row r="4" spans="1:3" x14ac:dyDescent="0.25">
      <c r="A4" s="6" t="s">
        <v>50</v>
      </c>
      <c r="B4" s="2" t="s">
        <v>9</v>
      </c>
      <c r="C4" s="7">
        <v>1</v>
      </c>
    </row>
    <row r="5" spans="1:3" x14ac:dyDescent="0.25">
      <c r="A5" s="6" t="s">
        <v>51</v>
      </c>
      <c r="B5" s="2" t="s">
        <v>23</v>
      </c>
      <c r="C5" s="7">
        <v>8</v>
      </c>
    </row>
    <row r="6" spans="1:3" x14ac:dyDescent="0.25">
      <c r="A6" s="6" t="s">
        <v>51</v>
      </c>
      <c r="B6" s="2" t="s">
        <v>47</v>
      </c>
      <c r="C6" s="7">
        <v>7</v>
      </c>
    </row>
    <row r="7" spans="1:3" x14ac:dyDescent="0.25">
      <c r="A7" s="6" t="s">
        <v>51</v>
      </c>
      <c r="B7" s="2" t="s">
        <v>9</v>
      </c>
      <c r="C7" s="7">
        <v>2</v>
      </c>
    </row>
    <row r="8" spans="1:3" x14ac:dyDescent="0.25">
      <c r="A8" s="6" t="s">
        <v>52</v>
      </c>
      <c r="B8" s="2" t="s">
        <v>15</v>
      </c>
      <c r="C8" s="7">
        <v>1</v>
      </c>
    </row>
    <row r="9" spans="1:3" x14ac:dyDescent="0.25">
      <c r="A9" s="6" t="s">
        <v>53</v>
      </c>
      <c r="B9" s="2" t="s">
        <v>15</v>
      </c>
      <c r="C9" s="7">
        <v>1</v>
      </c>
    </row>
    <row r="10" spans="1:3" x14ac:dyDescent="0.25">
      <c r="A10" s="6" t="s">
        <v>54</v>
      </c>
      <c r="B10" s="2" t="s">
        <v>47</v>
      </c>
      <c r="C10" s="7">
        <v>3</v>
      </c>
    </row>
    <row r="11" spans="1:3" x14ac:dyDescent="0.25">
      <c r="A11" s="6" t="s">
        <v>54</v>
      </c>
      <c r="B11" s="2" t="s">
        <v>36</v>
      </c>
      <c r="C11" s="7">
        <v>1</v>
      </c>
    </row>
    <row r="12" spans="1:3" x14ac:dyDescent="0.25">
      <c r="A12" s="6" t="s">
        <v>54</v>
      </c>
      <c r="B12" s="2" t="s">
        <v>27</v>
      </c>
      <c r="C12" s="7">
        <v>2</v>
      </c>
    </row>
    <row r="13" spans="1:3" x14ac:dyDescent="0.25">
      <c r="A13" s="6" t="s">
        <v>54</v>
      </c>
      <c r="B13" s="2" t="s">
        <v>9</v>
      </c>
      <c r="C13" s="7">
        <v>3</v>
      </c>
    </row>
    <row r="14" spans="1:3" x14ac:dyDescent="0.25">
      <c r="A14" s="6" t="s">
        <v>54</v>
      </c>
      <c r="B14" s="2" t="s">
        <v>23</v>
      </c>
      <c r="C14" s="7">
        <v>1</v>
      </c>
    </row>
    <row r="15" spans="1:3" x14ac:dyDescent="0.25">
      <c r="A15" s="6" t="s">
        <v>54</v>
      </c>
      <c r="B15" s="2" t="s">
        <v>5</v>
      </c>
      <c r="C15" s="7">
        <v>8</v>
      </c>
    </row>
    <row r="16" spans="1:3" x14ac:dyDescent="0.25">
      <c r="A16" s="6" t="s">
        <v>54</v>
      </c>
      <c r="B16" s="2" t="s">
        <v>15</v>
      </c>
      <c r="C16" s="7">
        <v>10</v>
      </c>
    </row>
    <row r="17" spans="1:3" x14ac:dyDescent="0.25">
      <c r="A17" s="6" t="s">
        <v>54</v>
      </c>
      <c r="B17" s="2" t="s">
        <v>24</v>
      </c>
      <c r="C17" s="7">
        <v>1</v>
      </c>
    </row>
    <row r="18" spans="1:3" x14ac:dyDescent="0.25">
      <c r="A18" s="6" t="s">
        <v>55</v>
      </c>
      <c r="B18" s="2" t="s">
        <v>15</v>
      </c>
      <c r="C18" s="7">
        <v>2</v>
      </c>
    </row>
    <row r="19" spans="1:3" x14ac:dyDescent="0.25">
      <c r="A19" s="6" t="s">
        <v>55</v>
      </c>
      <c r="B19" s="2" t="s">
        <v>27</v>
      </c>
      <c r="C19" s="7">
        <v>3</v>
      </c>
    </row>
    <row r="20" spans="1:3" x14ac:dyDescent="0.25">
      <c r="A20" s="6" t="s">
        <v>56</v>
      </c>
      <c r="B20" s="2" t="s">
        <v>9</v>
      </c>
      <c r="C20" s="7">
        <v>1</v>
      </c>
    </row>
    <row r="21" spans="1:3" x14ac:dyDescent="0.25">
      <c r="A21" s="6" t="s">
        <v>57</v>
      </c>
      <c r="B21" s="2" t="s">
        <v>9</v>
      </c>
      <c r="C21" s="7">
        <v>18</v>
      </c>
    </row>
    <row r="22" spans="1:3" x14ac:dyDescent="0.25">
      <c r="A22" s="6" t="s">
        <v>57</v>
      </c>
      <c r="B22" s="2" t="s">
        <v>15</v>
      </c>
      <c r="C22" s="7">
        <v>15</v>
      </c>
    </row>
    <row r="23" spans="1:3" x14ac:dyDescent="0.25">
      <c r="A23" s="6" t="s">
        <v>57</v>
      </c>
      <c r="B23" s="2" t="s">
        <v>5</v>
      </c>
      <c r="C23" s="7">
        <v>3</v>
      </c>
    </row>
    <row r="24" spans="1:3" x14ac:dyDescent="0.25">
      <c r="A24" s="6" t="s">
        <v>57</v>
      </c>
      <c r="B24" s="2" t="s">
        <v>24</v>
      </c>
      <c r="C24" s="7">
        <v>1</v>
      </c>
    </row>
    <row r="25" spans="1:3" x14ac:dyDescent="0.25">
      <c r="A25" s="6" t="s">
        <v>57</v>
      </c>
      <c r="B25" s="2" t="s">
        <v>31</v>
      </c>
      <c r="C25" s="7">
        <v>2</v>
      </c>
    </row>
    <row r="26" spans="1:3" x14ac:dyDescent="0.25">
      <c r="A26" s="6" t="s">
        <v>57</v>
      </c>
      <c r="B26" s="2" t="s">
        <v>23</v>
      </c>
      <c r="C26" s="7">
        <v>33</v>
      </c>
    </row>
    <row r="27" spans="1:3" x14ac:dyDescent="0.25">
      <c r="A27" s="6" t="s">
        <v>58</v>
      </c>
      <c r="B27" s="2" t="s">
        <v>15</v>
      </c>
      <c r="C27" s="7">
        <v>3</v>
      </c>
    </row>
    <row r="28" spans="1:3" x14ac:dyDescent="0.25">
      <c r="A28" s="6" t="s">
        <v>59</v>
      </c>
      <c r="B28" s="2" t="s">
        <v>27</v>
      </c>
      <c r="C28" s="7">
        <v>27</v>
      </c>
    </row>
    <row r="29" spans="1:3" x14ac:dyDescent="0.25">
      <c r="A29" s="6" t="s">
        <v>59</v>
      </c>
      <c r="B29" s="2" t="s">
        <v>35</v>
      </c>
      <c r="C29" s="7">
        <v>12</v>
      </c>
    </row>
    <row r="30" spans="1:3" x14ac:dyDescent="0.25">
      <c r="A30" s="6" t="s">
        <v>59</v>
      </c>
      <c r="B30" s="2" t="s">
        <v>36</v>
      </c>
      <c r="C30" s="7">
        <v>18</v>
      </c>
    </row>
    <row r="31" spans="1:3" x14ac:dyDescent="0.25">
      <c r="A31" s="6" t="s">
        <v>59</v>
      </c>
      <c r="B31" s="2" t="s">
        <v>37</v>
      </c>
      <c r="C31" s="7">
        <v>11</v>
      </c>
    </row>
    <row r="32" spans="1:3" x14ac:dyDescent="0.25">
      <c r="A32" s="6" t="s">
        <v>59</v>
      </c>
      <c r="B32" s="2" t="s">
        <v>9</v>
      </c>
      <c r="C32" s="7">
        <v>6</v>
      </c>
    </row>
    <row r="33" spans="1:3" x14ac:dyDescent="0.25">
      <c r="A33" s="6" t="s">
        <v>59</v>
      </c>
      <c r="B33" s="2" t="s">
        <v>5</v>
      </c>
      <c r="C33" s="7">
        <v>4</v>
      </c>
    </row>
    <row r="34" spans="1:3" x14ac:dyDescent="0.25">
      <c r="A34" s="6" t="s">
        <v>59</v>
      </c>
      <c r="B34" s="2" t="s">
        <v>47</v>
      </c>
      <c r="C34" s="7">
        <v>2</v>
      </c>
    </row>
    <row r="35" spans="1:3" x14ac:dyDescent="0.25">
      <c r="A35" s="6" t="s">
        <v>59</v>
      </c>
      <c r="B35" s="2" t="s">
        <v>23</v>
      </c>
      <c r="C35" s="7">
        <v>12</v>
      </c>
    </row>
    <row r="36" spans="1:3" x14ac:dyDescent="0.25">
      <c r="A36" s="6" t="s">
        <v>59</v>
      </c>
      <c r="B36" s="2" t="s">
        <v>15</v>
      </c>
      <c r="C36" s="7">
        <v>1</v>
      </c>
    </row>
    <row r="37" spans="1:3" x14ac:dyDescent="0.25">
      <c r="A37" s="6" t="s">
        <v>59</v>
      </c>
      <c r="B37" s="2" t="s">
        <v>39</v>
      </c>
      <c r="C37" s="7">
        <v>4</v>
      </c>
    </row>
    <row r="38" spans="1:3" x14ac:dyDescent="0.25">
      <c r="A38" s="6" t="s">
        <v>59</v>
      </c>
      <c r="B38" s="2" t="s">
        <v>40</v>
      </c>
      <c r="C38" s="7">
        <v>1</v>
      </c>
    </row>
    <row r="39" spans="1:3" x14ac:dyDescent="0.25">
      <c r="A39" s="6" t="s">
        <v>59</v>
      </c>
      <c r="B39" s="2" t="s">
        <v>41</v>
      </c>
      <c r="C39" s="7">
        <v>1</v>
      </c>
    </row>
    <row r="40" spans="1:3" x14ac:dyDescent="0.25">
      <c r="A40" s="6" t="s">
        <v>59</v>
      </c>
      <c r="B40" s="2" t="s">
        <v>42</v>
      </c>
      <c r="C40" s="7">
        <v>1</v>
      </c>
    </row>
    <row r="41" spans="1:3" x14ac:dyDescent="0.25">
      <c r="A41" s="6" t="s">
        <v>60</v>
      </c>
      <c r="B41" s="2" t="s">
        <v>37</v>
      </c>
      <c r="C41" s="7">
        <v>1</v>
      </c>
    </row>
    <row r="42" spans="1:3" x14ac:dyDescent="0.25">
      <c r="A42" s="6" t="s">
        <v>60</v>
      </c>
      <c r="B42" s="2" t="s">
        <v>9</v>
      </c>
      <c r="C42" s="7">
        <v>21</v>
      </c>
    </row>
    <row r="43" spans="1:3" x14ac:dyDescent="0.25">
      <c r="A43" s="6" t="s">
        <v>60</v>
      </c>
      <c r="B43" s="2" t="s">
        <v>40</v>
      </c>
      <c r="C43" s="7">
        <v>1</v>
      </c>
    </row>
    <row r="44" spans="1:3" x14ac:dyDescent="0.25">
      <c r="A44" s="6" t="s">
        <v>60</v>
      </c>
      <c r="B44" s="2" t="s">
        <v>47</v>
      </c>
      <c r="C44" s="7">
        <v>45</v>
      </c>
    </row>
    <row r="45" spans="1:3" x14ac:dyDescent="0.25">
      <c r="A45" s="6" t="s">
        <v>60</v>
      </c>
      <c r="B45" s="2" t="s">
        <v>15</v>
      </c>
      <c r="C45" s="7">
        <v>31</v>
      </c>
    </row>
    <row r="46" spans="1:3" x14ac:dyDescent="0.25">
      <c r="A46" s="6" t="s">
        <v>60</v>
      </c>
      <c r="B46" s="2" t="s">
        <v>31</v>
      </c>
      <c r="C46" s="7">
        <v>3</v>
      </c>
    </row>
    <row r="47" spans="1:3" x14ac:dyDescent="0.25">
      <c r="A47" s="6" t="s">
        <v>60</v>
      </c>
      <c r="B47" s="2" t="s">
        <v>5</v>
      </c>
      <c r="C47" s="7">
        <v>42</v>
      </c>
    </row>
    <row r="48" spans="1:3" x14ac:dyDescent="0.25">
      <c r="A48" s="6" t="s">
        <v>60</v>
      </c>
      <c r="B48" s="2" t="s">
        <v>24</v>
      </c>
      <c r="C48" s="7">
        <v>5</v>
      </c>
    </row>
    <row r="49" spans="1:3" x14ac:dyDescent="0.25">
      <c r="A49" s="6" t="s">
        <v>60</v>
      </c>
      <c r="B49" s="2" t="s">
        <v>41</v>
      </c>
      <c r="C49" s="7">
        <v>5</v>
      </c>
    </row>
    <row r="50" spans="1:3" x14ac:dyDescent="0.25">
      <c r="A50" s="6" t="s">
        <v>60</v>
      </c>
      <c r="B50" s="2" t="s">
        <v>23</v>
      </c>
      <c r="C50" s="7">
        <v>48</v>
      </c>
    </row>
    <row r="51" spans="1:3" x14ac:dyDescent="0.25">
      <c r="A51" s="6" t="s">
        <v>61</v>
      </c>
      <c r="B51" s="2" t="s">
        <v>24</v>
      </c>
      <c r="C51" s="7">
        <v>5</v>
      </c>
    </row>
    <row r="52" spans="1:3" x14ac:dyDescent="0.25">
      <c r="A52" s="6" t="s">
        <v>61</v>
      </c>
      <c r="B52" s="2" t="s">
        <v>5</v>
      </c>
      <c r="C52" s="7">
        <v>15</v>
      </c>
    </row>
    <row r="53" spans="1:3" x14ac:dyDescent="0.25">
      <c r="A53" s="6" t="s">
        <v>61</v>
      </c>
      <c r="B53" s="2" t="s">
        <v>27</v>
      </c>
      <c r="C53" s="7">
        <v>1</v>
      </c>
    </row>
    <row r="54" spans="1:3" x14ac:dyDescent="0.25">
      <c r="A54" s="8" t="s">
        <v>61</v>
      </c>
      <c r="B54" s="9" t="s">
        <v>15</v>
      </c>
      <c r="C54" s="10">
        <v>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
  <sheetViews>
    <sheetView topLeftCell="A36" workbookViewId="0">
      <selection activeCell="A58" sqref="A58"/>
    </sheetView>
  </sheetViews>
  <sheetFormatPr defaultRowHeight="15" x14ac:dyDescent="0.25"/>
  <cols>
    <col min="1" max="1" width="29.42578125" bestFit="1" customWidth="1"/>
    <col min="2" max="2" width="26.140625" bestFit="1" customWidth="1"/>
    <col min="3" max="3" width="18.5703125" customWidth="1"/>
  </cols>
  <sheetData>
    <row r="1" spans="1:3" x14ac:dyDescent="0.25">
      <c r="A1" s="3" t="s">
        <v>0</v>
      </c>
      <c r="B1" s="4" t="s">
        <v>1</v>
      </c>
      <c r="C1" s="5" t="s">
        <v>2</v>
      </c>
    </row>
    <row r="2" spans="1:3" x14ac:dyDescent="0.25">
      <c r="A2" s="6" t="s">
        <v>105</v>
      </c>
      <c r="B2" s="2" t="s">
        <v>23</v>
      </c>
      <c r="C2" s="7">
        <v>21</v>
      </c>
    </row>
    <row r="3" spans="1:3" x14ac:dyDescent="0.25">
      <c r="A3" s="6" t="s">
        <v>105</v>
      </c>
      <c r="B3" s="2" t="s">
        <v>9</v>
      </c>
      <c r="C3" s="7">
        <v>1</v>
      </c>
    </row>
    <row r="4" spans="1:3" x14ac:dyDescent="0.25">
      <c r="A4" s="6" t="s">
        <v>105</v>
      </c>
      <c r="B4" s="2" t="s">
        <v>15</v>
      </c>
      <c r="C4" s="7">
        <v>23</v>
      </c>
    </row>
    <row r="5" spans="1:3" x14ac:dyDescent="0.25">
      <c r="A5" s="6" t="s">
        <v>104</v>
      </c>
      <c r="B5" s="2" t="s">
        <v>15</v>
      </c>
      <c r="C5" s="7">
        <v>2</v>
      </c>
    </row>
    <row r="6" spans="1:3" x14ac:dyDescent="0.25">
      <c r="A6" s="6" t="s">
        <v>103</v>
      </c>
      <c r="B6" s="2" t="s">
        <v>23</v>
      </c>
      <c r="C6" s="7">
        <v>3</v>
      </c>
    </row>
    <row r="7" spans="1:3" x14ac:dyDescent="0.25">
      <c r="A7" s="6" t="s">
        <v>103</v>
      </c>
      <c r="B7" s="2" t="s">
        <v>5</v>
      </c>
      <c r="C7" s="7">
        <v>2</v>
      </c>
    </row>
    <row r="8" spans="1:3" x14ac:dyDescent="0.25">
      <c r="A8" s="6" t="s">
        <v>103</v>
      </c>
      <c r="B8" s="2" t="s">
        <v>31</v>
      </c>
      <c r="C8" s="7">
        <v>1</v>
      </c>
    </row>
    <row r="9" spans="1:3" x14ac:dyDescent="0.25">
      <c r="A9" s="6" t="s">
        <v>102</v>
      </c>
      <c r="B9" s="2" t="s">
        <v>5</v>
      </c>
      <c r="C9" s="7">
        <v>2</v>
      </c>
    </row>
    <row r="10" spans="1:3" x14ac:dyDescent="0.25">
      <c r="A10" s="6" t="s">
        <v>102</v>
      </c>
      <c r="B10" s="2" t="s">
        <v>41</v>
      </c>
      <c r="C10" s="7">
        <v>42</v>
      </c>
    </row>
    <row r="11" spans="1:3" x14ac:dyDescent="0.25">
      <c r="A11" s="6" t="s">
        <v>102</v>
      </c>
      <c r="B11" s="2" t="s">
        <v>9</v>
      </c>
      <c r="C11" s="7">
        <v>1</v>
      </c>
    </row>
    <row r="12" spans="1:3" x14ac:dyDescent="0.25">
      <c r="A12" s="6" t="s">
        <v>102</v>
      </c>
      <c r="B12" s="2" t="s">
        <v>15</v>
      </c>
      <c r="C12" s="7">
        <v>11</v>
      </c>
    </row>
    <row r="13" spans="1:3" x14ac:dyDescent="0.25">
      <c r="A13" s="6" t="s">
        <v>101</v>
      </c>
      <c r="B13" s="2" t="s">
        <v>9</v>
      </c>
      <c r="C13" s="7">
        <v>1</v>
      </c>
    </row>
    <row r="14" spans="1:3" x14ac:dyDescent="0.25">
      <c r="A14" s="6" t="s">
        <v>100</v>
      </c>
      <c r="B14" s="2" t="s">
        <v>24</v>
      </c>
      <c r="C14" s="7">
        <v>9</v>
      </c>
    </row>
    <row r="15" spans="1:3" x14ac:dyDescent="0.25">
      <c r="A15" s="6" t="s">
        <v>100</v>
      </c>
      <c r="B15" s="2" t="s">
        <v>9</v>
      </c>
      <c r="C15" s="7">
        <v>27</v>
      </c>
    </row>
    <row r="16" spans="1:3" x14ac:dyDescent="0.25">
      <c r="A16" s="6" t="s">
        <v>100</v>
      </c>
      <c r="B16" s="2" t="s">
        <v>23</v>
      </c>
      <c r="C16" s="7">
        <v>24</v>
      </c>
    </row>
    <row r="17" spans="1:3" x14ac:dyDescent="0.25">
      <c r="A17" s="6" t="s">
        <v>100</v>
      </c>
      <c r="B17" s="2" t="s">
        <v>5</v>
      </c>
      <c r="C17" s="7">
        <v>1</v>
      </c>
    </row>
    <row r="18" spans="1:3" x14ac:dyDescent="0.25">
      <c r="A18" s="6" t="s">
        <v>100</v>
      </c>
      <c r="B18" s="2" t="s">
        <v>15</v>
      </c>
      <c r="C18" s="7">
        <v>48</v>
      </c>
    </row>
    <row r="19" spans="1:3" x14ac:dyDescent="0.25">
      <c r="A19" s="6" t="s">
        <v>99</v>
      </c>
      <c r="B19" s="2" t="s">
        <v>5</v>
      </c>
      <c r="C19" s="7">
        <v>1</v>
      </c>
    </row>
    <row r="20" spans="1:3" x14ac:dyDescent="0.25">
      <c r="A20" s="6" t="s">
        <v>98</v>
      </c>
      <c r="B20" s="2" t="s">
        <v>15</v>
      </c>
      <c r="C20" s="7">
        <v>6</v>
      </c>
    </row>
    <row r="21" spans="1:3" x14ac:dyDescent="0.25">
      <c r="A21" s="6" t="s">
        <v>98</v>
      </c>
      <c r="B21" s="2" t="s">
        <v>23</v>
      </c>
      <c r="C21" s="7">
        <v>5</v>
      </c>
    </row>
    <row r="22" spans="1:3" x14ac:dyDescent="0.25">
      <c r="A22" s="6" t="s">
        <v>98</v>
      </c>
      <c r="B22" s="2" t="s">
        <v>9</v>
      </c>
      <c r="C22" s="7">
        <v>2</v>
      </c>
    </row>
    <row r="23" spans="1:3" x14ac:dyDescent="0.25">
      <c r="A23" s="6" t="s">
        <v>98</v>
      </c>
      <c r="B23" s="2" t="s">
        <v>5</v>
      </c>
      <c r="C23" s="7">
        <v>15</v>
      </c>
    </row>
    <row r="24" spans="1:3" x14ac:dyDescent="0.25">
      <c r="A24" s="6" t="s">
        <v>98</v>
      </c>
      <c r="B24" s="2" t="s">
        <v>47</v>
      </c>
      <c r="C24" s="7">
        <v>7</v>
      </c>
    </row>
    <row r="25" spans="1:3" x14ac:dyDescent="0.25">
      <c r="A25" s="6" t="s">
        <v>97</v>
      </c>
      <c r="B25" s="2" t="s">
        <v>27</v>
      </c>
      <c r="C25" s="7">
        <v>20</v>
      </c>
    </row>
    <row r="26" spans="1:3" x14ac:dyDescent="0.25">
      <c r="A26" s="6" t="s">
        <v>97</v>
      </c>
      <c r="B26" s="2" t="s">
        <v>15</v>
      </c>
      <c r="C26" s="7">
        <v>1</v>
      </c>
    </row>
    <row r="27" spans="1:3" x14ac:dyDescent="0.25">
      <c r="A27" s="6" t="s">
        <v>97</v>
      </c>
      <c r="B27" s="2" t="s">
        <v>31</v>
      </c>
      <c r="C27" s="7">
        <v>1</v>
      </c>
    </row>
    <row r="28" spans="1:3" x14ac:dyDescent="0.25">
      <c r="A28" s="6" t="s">
        <v>97</v>
      </c>
      <c r="B28" s="2" t="s">
        <v>23</v>
      </c>
      <c r="C28" s="7">
        <v>3</v>
      </c>
    </row>
    <row r="29" spans="1:3" x14ac:dyDescent="0.25">
      <c r="A29" s="6" t="s">
        <v>97</v>
      </c>
      <c r="B29" s="2" t="s">
        <v>9</v>
      </c>
      <c r="C29" s="7">
        <v>1</v>
      </c>
    </row>
    <row r="30" spans="1:3" x14ac:dyDescent="0.25">
      <c r="A30" s="6" t="s">
        <v>97</v>
      </c>
      <c r="B30" s="2" t="s">
        <v>37</v>
      </c>
      <c r="C30" s="7">
        <v>8</v>
      </c>
    </row>
    <row r="31" spans="1:3" x14ac:dyDescent="0.25">
      <c r="A31" s="6" t="s">
        <v>97</v>
      </c>
      <c r="B31" s="2" t="s">
        <v>39</v>
      </c>
      <c r="C31" s="7">
        <v>4</v>
      </c>
    </row>
    <row r="32" spans="1:3" x14ac:dyDescent="0.25">
      <c r="A32" s="6" t="s">
        <v>97</v>
      </c>
      <c r="B32" s="2" t="s">
        <v>36</v>
      </c>
      <c r="C32" s="7">
        <v>46</v>
      </c>
    </row>
    <row r="33" spans="1:3" x14ac:dyDescent="0.25">
      <c r="A33" s="6" t="s">
        <v>97</v>
      </c>
      <c r="B33" s="2" t="s">
        <v>35</v>
      </c>
      <c r="C33" s="7">
        <v>1</v>
      </c>
    </row>
    <row r="34" spans="1:3" x14ac:dyDescent="0.25">
      <c r="A34" s="6" t="s">
        <v>96</v>
      </c>
      <c r="B34" s="2" t="s">
        <v>36</v>
      </c>
      <c r="C34" s="7">
        <v>1</v>
      </c>
    </row>
    <row r="35" spans="1:3" x14ac:dyDescent="0.25">
      <c r="A35" s="6" t="s">
        <v>96</v>
      </c>
      <c r="B35" s="2" t="s">
        <v>5</v>
      </c>
      <c r="C35" s="7">
        <v>1</v>
      </c>
    </row>
    <row r="36" spans="1:3" x14ac:dyDescent="0.25">
      <c r="A36" s="6" t="s">
        <v>96</v>
      </c>
      <c r="B36" s="2" t="s">
        <v>9</v>
      </c>
      <c r="C36" s="7">
        <v>1</v>
      </c>
    </row>
    <row r="37" spans="1:3" x14ac:dyDescent="0.25">
      <c r="A37" s="6" t="s">
        <v>96</v>
      </c>
      <c r="B37" s="2" t="s">
        <v>15</v>
      </c>
      <c r="C37" s="7">
        <v>2</v>
      </c>
    </row>
    <row r="38" spans="1:3" x14ac:dyDescent="0.25">
      <c r="A38" s="6" t="s">
        <v>95</v>
      </c>
      <c r="B38" s="2" t="s">
        <v>23</v>
      </c>
      <c r="C38" s="7">
        <v>1</v>
      </c>
    </row>
    <row r="39" spans="1:3" x14ac:dyDescent="0.25">
      <c r="A39" s="6" t="s">
        <v>95</v>
      </c>
      <c r="B39" s="2" t="s">
        <v>24</v>
      </c>
      <c r="C39" s="7">
        <v>1</v>
      </c>
    </row>
    <row r="40" spans="1:3" x14ac:dyDescent="0.25">
      <c r="A40" s="6" t="s">
        <v>95</v>
      </c>
      <c r="B40" s="2" t="s">
        <v>5</v>
      </c>
      <c r="C40" s="7">
        <v>11</v>
      </c>
    </row>
    <row r="41" spans="1:3" x14ac:dyDescent="0.25">
      <c r="A41" s="6" t="s">
        <v>95</v>
      </c>
      <c r="B41" s="2" t="s">
        <v>9</v>
      </c>
      <c r="C41" s="7">
        <v>3</v>
      </c>
    </row>
    <row r="42" spans="1:3" x14ac:dyDescent="0.25">
      <c r="A42" s="6" t="s">
        <v>94</v>
      </c>
      <c r="B42" s="2" t="s">
        <v>23</v>
      </c>
      <c r="C42" s="7">
        <v>93</v>
      </c>
    </row>
    <row r="43" spans="1:3" x14ac:dyDescent="0.25">
      <c r="A43" s="6" t="s">
        <v>94</v>
      </c>
      <c r="B43" s="2" t="s">
        <v>41</v>
      </c>
      <c r="C43" s="7">
        <v>248</v>
      </c>
    </row>
    <row r="44" spans="1:3" x14ac:dyDescent="0.25">
      <c r="A44" s="6" t="s">
        <v>94</v>
      </c>
      <c r="B44" s="2" t="s">
        <v>42</v>
      </c>
      <c r="C44" s="7">
        <v>379</v>
      </c>
    </row>
    <row r="45" spans="1:3" x14ac:dyDescent="0.25">
      <c r="A45" s="6" t="s">
        <v>94</v>
      </c>
      <c r="B45" s="2" t="s">
        <v>9</v>
      </c>
      <c r="C45" s="7">
        <v>53</v>
      </c>
    </row>
    <row r="46" spans="1:3" x14ac:dyDescent="0.25">
      <c r="A46" s="6" t="s">
        <v>94</v>
      </c>
      <c r="B46" s="2" t="s">
        <v>5</v>
      </c>
      <c r="C46" s="7">
        <v>32</v>
      </c>
    </row>
    <row r="47" spans="1:3" x14ac:dyDescent="0.25">
      <c r="A47" s="6" t="s">
        <v>94</v>
      </c>
      <c r="B47" s="2" t="s">
        <v>31</v>
      </c>
      <c r="C47" s="7">
        <v>98</v>
      </c>
    </row>
    <row r="48" spans="1:3" x14ac:dyDescent="0.25">
      <c r="A48" s="6" t="s">
        <v>94</v>
      </c>
      <c r="B48" s="2" t="s">
        <v>47</v>
      </c>
      <c r="C48" s="7">
        <v>276</v>
      </c>
    </row>
    <row r="49" spans="1:3" x14ac:dyDescent="0.25">
      <c r="A49" s="6" t="s">
        <v>94</v>
      </c>
      <c r="B49" s="2" t="s">
        <v>24</v>
      </c>
      <c r="C49" s="7">
        <v>5</v>
      </c>
    </row>
    <row r="50" spans="1:3" x14ac:dyDescent="0.25">
      <c r="A50" s="8" t="s">
        <v>94</v>
      </c>
      <c r="B50" s="9" t="s">
        <v>15</v>
      </c>
      <c r="C50" s="10">
        <v>37</v>
      </c>
    </row>
    <row r="51" spans="1:3" x14ac:dyDescent="0.25">
      <c r="A51" s="6"/>
      <c r="B51" s="21" t="s">
        <v>93</v>
      </c>
      <c r="C51" s="20">
        <f>SUBTOTAL(109,C2:C50)</f>
        <v>1582</v>
      </c>
    </row>
    <row r="52" spans="1:3" x14ac:dyDescent="0.25">
      <c r="A52" s="6"/>
      <c r="B52" s="21" t="s">
        <v>92</v>
      </c>
      <c r="C52" s="20">
        <f>SUBTOTAL(101,C2:C51)</f>
        <v>32.285714285714285</v>
      </c>
    </row>
    <row r="53" spans="1:3" x14ac:dyDescent="0.25">
      <c r="A53" s="6"/>
      <c r="B53" s="21" t="s">
        <v>91</v>
      </c>
      <c r="C53" s="20">
        <f>SUBTOTAL(104,C2:C52)</f>
        <v>379</v>
      </c>
    </row>
    <row r="54" spans="1:3" x14ac:dyDescent="0.25">
      <c r="A54" s="6"/>
      <c r="B54" s="21" t="s">
        <v>90</v>
      </c>
      <c r="C54" s="20">
        <f>SUBTOTAL(105,C2:C53)</f>
        <v>1</v>
      </c>
    </row>
    <row r="55" spans="1:3" x14ac:dyDescent="0.25">
      <c r="A55" s="8"/>
      <c r="B55" s="19" t="s">
        <v>89</v>
      </c>
      <c r="C55" s="18">
        <f>SUBTOTAL(102,C2:C54)</f>
        <v>49</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E8" sqref="E8"/>
    </sheetView>
  </sheetViews>
  <sheetFormatPr defaultRowHeight="15" x14ac:dyDescent="0.25"/>
  <cols>
    <col min="1" max="1" width="29.42578125" bestFit="1" customWidth="1"/>
    <col min="2" max="2" width="23.42578125" bestFit="1" customWidth="1"/>
  </cols>
  <sheetData>
    <row r="3" spans="1:2" x14ac:dyDescent="0.25">
      <c r="A3" s="24" t="s">
        <v>108</v>
      </c>
      <c r="B3" t="s">
        <v>107</v>
      </c>
    </row>
    <row r="4" spans="1:2" x14ac:dyDescent="0.25">
      <c r="A4" s="23" t="s">
        <v>94</v>
      </c>
      <c r="B4" s="22">
        <v>1221</v>
      </c>
    </row>
    <row r="5" spans="1:2" x14ac:dyDescent="0.25">
      <c r="A5" s="23" t="s">
        <v>100</v>
      </c>
      <c r="B5" s="22">
        <v>109</v>
      </c>
    </row>
    <row r="6" spans="1:2" x14ac:dyDescent="0.25">
      <c r="A6" s="23" t="s">
        <v>97</v>
      </c>
      <c r="B6" s="22">
        <v>85</v>
      </c>
    </row>
    <row r="7" spans="1:2" x14ac:dyDescent="0.25">
      <c r="A7" s="23" t="s">
        <v>102</v>
      </c>
      <c r="B7" s="22">
        <v>56</v>
      </c>
    </row>
    <row r="8" spans="1:2" x14ac:dyDescent="0.25">
      <c r="A8" s="23" t="s">
        <v>105</v>
      </c>
      <c r="B8" s="22">
        <v>45</v>
      </c>
    </row>
    <row r="9" spans="1:2" x14ac:dyDescent="0.25">
      <c r="A9" s="23" t="s">
        <v>98</v>
      </c>
      <c r="B9" s="22">
        <v>35</v>
      </c>
    </row>
    <row r="10" spans="1:2" x14ac:dyDescent="0.25">
      <c r="A10" s="23" t="s">
        <v>95</v>
      </c>
      <c r="B10" s="22">
        <v>16</v>
      </c>
    </row>
    <row r="11" spans="1:2" x14ac:dyDescent="0.25">
      <c r="A11" s="23" t="s">
        <v>103</v>
      </c>
      <c r="B11" s="22">
        <v>6</v>
      </c>
    </row>
    <row r="12" spans="1:2" x14ac:dyDescent="0.25">
      <c r="A12" s="23" t="s">
        <v>96</v>
      </c>
      <c r="B12" s="22">
        <v>5</v>
      </c>
    </row>
    <row r="13" spans="1:2" x14ac:dyDescent="0.25">
      <c r="A13" s="23" t="s">
        <v>104</v>
      </c>
      <c r="B13" s="22">
        <v>2</v>
      </c>
    </row>
    <row r="14" spans="1:2" x14ac:dyDescent="0.25">
      <c r="A14" s="23" t="s">
        <v>101</v>
      </c>
      <c r="B14" s="22">
        <v>1</v>
      </c>
    </row>
    <row r="15" spans="1:2" x14ac:dyDescent="0.25">
      <c r="A15" s="23" t="s">
        <v>99</v>
      </c>
      <c r="B15" s="22">
        <v>1</v>
      </c>
    </row>
    <row r="16" spans="1:2" x14ac:dyDescent="0.25">
      <c r="A16" s="23" t="s">
        <v>106</v>
      </c>
      <c r="B16" s="22">
        <v>1582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
  <sheetViews>
    <sheetView workbookViewId="0">
      <selection activeCell="I16" sqref="I16"/>
    </sheetView>
  </sheetViews>
  <sheetFormatPr defaultRowHeight="15" x14ac:dyDescent="0.25"/>
  <cols>
    <col min="1" max="1" width="31.28515625" bestFit="1" customWidth="1"/>
    <col min="2" max="2" width="23.42578125" bestFit="1" customWidth="1"/>
  </cols>
  <sheetData>
    <row r="3" spans="1:2" x14ac:dyDescent="0.25">
      <c r="A3" s="24" t="s">
        <v>108</v>
      </c>
      <c r="B3" t="s">
        <v>107</v>
      </c>
    </row>
    <row r="4" spans="1:2" x14ac:dyDescent="0.25">
      <c r="A4" s="23" t="s">
        <v>105</v>
      </c>
      <c r="B4" s="22">
        <v>45</v>
      </c>
    </row>
    <row r="5" spans="1:2" x14ac:dyDescent="0.25">
      <c r="A5" s="23" t="s">
        <v>104</v>
      </c>
      <c r="B5" s="22">
        <v>2</v>
      </c>
    </row>
    <row r="6" spans="1:2" x14ac:dyDescent="0.25">
      <c r="A6" s="25" t="s">
        <v>15</v>
      </c>
      <c r="B6" s="22">
        <v>2</v>
      </c>
    </row>
    <row r="7" spans="1:2" x14ac:dyDescent="0.25">
      <c r="A7" s="23" t="s">
        <v>103</v>
      </c>
      <c r="B7" s="22">
        <v>6</v>
      </c>
    </row>
    <row r="8" spans="1:2" x14ac:dyDescent="0.25">
      <c r="A8" s="23" t="s">
        <v>102</v>
      </c>
      <c r="B8" s="22">
        <v>56</v>
      </c>
    </row>
    <row r="9" spans="1:2" x14ac:dyDescent="0.25">
      <c r="A9" s="23" t="s">
        <v>101</v>
      </c>
      <c r="B9" s="22">
        <v>1</v>
      </c>
    </row>
    <row r="10" spans="1:2" x14ac:dyDescent="0.25">
      <c r="A10" s="25" t="s">
        <v>9</v>
      </c>
      <c r="B10" s="22">
        <v>1</v>
      </c>
    </row>
    <row r="11" spans="1:2" x14ac:dyDescent="0.25">
      <c r="A11" s="23" t="s">
        <v>100</v>
      </c>
      <c r="B11" s="22">
        <v>109</v>
      </c>
    </row>
    <row r="12" spans="1:2" x14ac:dyDescent="0.25">
      <c r="A12" s="23" t="s">
        <v>99</v>
      </c>
      <c r="B12" s="22">
        <v>1</v>
      </c>
    </row>
    <row r="13" spans="1:2" x14ac:dyDescent="0.25">
      <c r="A13" s="23" t="s">
        <v>98</v>
      </c>
      <c r="B13" s="22">
        <v>35</v>
      </c>
    </row>
    <row r="14" spans="1:2" x14ac:dyDescent="0.25">
      <c r="A14" s="23" t="s">
        <v>97</v>
      </c>
      <c r="B14" s="22">
        <v>85</v>
      </c>
    </row>
    <row r="15" spans="1:2" x14ac:dyDescent="0.25">
      <c r="A15" s="23" t="s">
        <v>96</v>
      </c>
      <c r="B15" s="22">
        <v>5</v>
      </c>
    </row>
    <row r="16" spans="1:2" x14ac:dyDescent="0.25">
      <c r="A16" s="23" t="s">
        <v>95</v>
      </c>
      <c r="B16" s="22">
        <v>16</v>
      </c>
    </row>
    <row r="17" spans="1:2" x14ac:dyDescent="0.25">
      <c r="A17" s="23" t="s">
        <v>94</v>
      </c>
      <c r="B17" s="22">
        <v>1221</v>
      </c>
    </row>
    <row r="18" spans="1:2" x14ac:dyDescent="0.25">
      <c r="A18" s="25" t="s">
        <v>24</v>
      </c>
      <c r="B18" s="22">
        <v>5</v>
      </c>
    </row>
    <row r="19" spans="1:2" x14ac:dyDescent="0.25">
      <c r="A19" s="25" t="s">
        <v>41</v>
      </c>
      <c r="B19" s="22">
        <v>248</v>
      </c>
    </row>
    <row r="20" spans="1:2" x14ac:dyDescent="0.25">
      <c r="A20" s="25" t="s">
        <v>31</v>
      </c>
      <c r="B20" s="22">
        <v>98</v>
      </c>
    </row>
    <row r="21" spans="1:2" x14ac:dyDescent="0.25">
      <c r="A21" s="25" t="s">
        <v>47</v>
      </c>
      <c r="B21" s="22">
        <v>276</v>
      </c>
    </row>
    <row r="22" spans="1:2" x14ac:dyDescent="0.25">
      <c r="A22" s="25" t="s">
        <v>23</v>
      </c>
      <c r="B22" s="22">
        <v>93</v>
      </c>
    </row>
    <row r="23" spans="1:2" x14ac:dyDescent="0.25">
      <c r="A23" s="25" t="s">
        <v>15</v>
      </c>
      <c r="B23" s="22">
        <v>37</v>
      </c>
    </row>
    <row r="24" spans="1:2" x14ac:dyDescent="0.25">
      <c r="A24" s="25" t="s">
        <v>9</v>
      </c>
      <c r="B24" s="22">
        <v>53</v>
      </c>
    </row>
    <row r="25" spans="1:2" x14ac:dyDescent="0.25">
      <c r="A25" s="25" t="s">
        <v>42</v>
      </c>
      <c r="B25" s="22">
        <v>379</v>
      </c>
    </row>
    <row r="26" spans="1:2" x14ac:dyDescent="0.25">
      <c r="A26" s="25" t="s">
        <v>5</v>
      </c>
      <c r="B26" s="22">
        <v>32</v>
      </c>
    </row>
    <row r="27" spans="1:2" x14ac:dyDescent="0.25">
      <c r="A27" s="23" t="s">
        <v>106</v>
      </c>
      <c r="B27" s="22">
        <v>1582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A20" sqref="A20"/>
    </sheetView>
  </sheetViews>
  <sheetFormatPr defaultRowHeight="15" x14ac:dyDescent="0.25"/>
  <cols>
    <col min="1" max="1" width="28.42578125" customWidth="1"/>
    <col min="2" max="2" width="23.42578125" bestFit="1" customWidth="1"/>
  </cols>
  <sheetData>
    <row r="3" spans="1:2" x14ac:dyDescent="0.25">
      <c r="A3" s="24" t="s">
        <v>108</v>
      </c>
      <c r="B3" t="s">
        <v>107</v>
      </c>
    </row>
    <row r="4" spans="1:2" x14ac:dyDescent="0.25">
      <c r="A4" s="23" t="s">
        <v>24</v>
      </c>
      <c r="B4" s="22">
        <v>15</v>
      </c>
    </row>
    <row r="5" spans="1:2" x14ac:dyDescent="0.25">
      <c r="A5" s="25" t="s">
        <v>100</v>
      </c>
      <c r="B5" s="22">
        <v>9</v>
      </c>
    </row>
    <row r="6" spans="1:2" x14ac:dyDescent="0.25">
      <c r="A6" s="25" t="s">
        <v>95</v>
      </c>
      <c r="B6" s="22">
        <v>1</v>
      </c>
    </row>
    <row r="7" spans="1:2" x14ac:dyDescent="0.25">
      <c r="A7" s="25" t="s">
        <v>94</v>
      </c>
      <c r="B7" s="22">
        <v>5</v>
      </c>
    </row>
    <row r="8" spans="1:2" x14ac:dyDescent="0.25">
      <c r="A8" s="23" t="s">
        <v>41</v>
      </c>
      <c r="B8" s="22">
        <v>290</v>
      </c>
    </row>
    <row r="9" spans="1:2" x14ac:dyDescent="0.25">
      <c r="A9" s="23" t="s">
        <v>31</v>
      </c>
      <c r="B9" s="22">
        <v>100</v>
      </c>
    </row>
    <row r="10" spans="1:2" x14ac:dyDescent="0.25">
      <c r="A10" s="23" t="s">
        <v>47</v>
      </c>
      <c r="B10" s="22">
        <v>283</v>
      </c>
    </row>
    <row r="11" spans="1:2" x14ac:dyDescent="0.25">
      <c r="A11" s="23" t="s">
        <v>23</v>
      </c>
      <c r="B11" s="22">
        <v>150</v>
      </c>
    </row>
    <row r="12" spans="1:2" x14ac:dyDescent="0.25">
      <c r="A12" s="23" t="s">
        <v>39</v>
      </c>
      <c r="B12" s="22">
        <v>4</v>
      </c>
    </row>
    <row r="13" spans="1:2" x14ac:dyDescent="0.25">
      <c r="A13" s="23" t="s">
        <v>35</v>
      </c>
      <c r="B13" s="22">
        <v>1</v>
      </c>
    </row>
    <row r="14" spans="1:2" x14ac:dyDescent="0.25">
      <c r="A14" s="23" t="s">
        <v>36</v>
      </c>
      <c r="B14" s="22">
        <v>47</v>
      </c>
    </row>
    <row r="15" spans="1:2" x14ac:dyDescent="0.25">
      <c r="A15" s="23" t="s">
        <v>27</v>
      </c>
      <c r="B15" s="22">
        <v>20</v>
      </c>
    </row>
    <row r="16" spans="1:2" x14ac:dyDescent="0.25">
      <c r="A16" s="23" t="s">
        <v>37</v>
      </c>
      <c r="B16" s="22">
        <v>8</v>
      </c>
    </row>
    <row r="17" spans="1:2" x14ac:dyDescent="0.25">
      <c r="A17" s="23" t="s">
        <v>15</v>
      </c>
      <c r="B17" s="22">
        <v>130</v>
      </c>
    </row>
    <row r="18" spans="1:2" x14ac:dyDescent="0.25">
      <c r="A18" s="23" t="s">
        <v>9</v>
      </c>
      <c r="B18" s="22">
        <v>90</v>
      </c>
    </row>
    <row r="19" spans="1:2" x14ac:dyDescent="0.25">
      <c r="A19" s="23" t="s">
        <v>42</v>
      </c>
      <c r="B19" s="22">
        <v>379</v>
      </c>
    </row>
    <row r="20" spans="1:2" x14ac:dyDescent="0.25">
      <c r="A20" s="23" t="s">
        <v>5</v>
      </c>
      <c r="B20" s="22">
        <v>65</v>
      </c>
    </row>
    <row r="21" spans="1:2" x14ac:dyDescent="0.25">
      <c r="A21" s="23" t="s">
        <v>106</v>
      </c>
      <c r="B21" s="22">
        <v>1582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Instruction</vt:lpstr>
      <vt:lpstr>Raw Data</vt:lpstr>
      <vt:lpstr>Cleaned Data</vt:lpstr>
      <vt:lpstr>Auto Sum</vt:lpstr>
      <vt:lpstr>Pivot Table 1</vt:lpstr>
      <vt:lpstr>Pivot Table 2</vt:lpstr>
      <vt:lpstr>Pivot Table 3</vt:lpstr>
      <vt:lpstr>Equipment_count</vt:lpstr>
      <vt:lpstr>'Raw Data'!Montgomery_Fleet_Equipment_Inventory_FA_PART_1_START</vt:lpstr>
    </vt:vector>
  </TitlesOfParts>
  <Company>Moorche 30 DVDs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 www.Win2Farsi.com</dc:creator>
  <cp:lastModifiedBy>MRT www.Win2Farsi.com</cp:lastModifiedBy>
  <dcterms:created xsi:type="dcterms:W3CDTF">2021-06-13T13:05:40Z</dcterms:created>
  <dcterms:modified xsi:type="dcterms:W3CDTF">2021-06-13T14:48:56Z</dcterms:modified>
</cp:coreProperties>
</file>